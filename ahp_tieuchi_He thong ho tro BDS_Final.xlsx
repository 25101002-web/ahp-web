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u_Tru\HocThacSi\HeHoTroRaQuyetDinh_CoNga\BaoCao\AHP\"/>
    </mc:Choice>
  </mc:AlternateContent>
  <xr:revisionPtr revIDLastSave="0" documentId="13_ncr:1_{EA03CAF4-0FB6-4C01-922B-37F03985D1EE}" xr6:coauthVersionLast="47" xr6:coauthVersionMax="47" xr10:uidLastSave="{00000000-0000-0000-0000-000000000000}"/>
  <bookViews>
    <workbookView xWindow="-108" yWindow="-108" windowWidth="23256" windowHeight="12576" xr2:uid="{C5D409CB-E0F9-406D-93C7-E06F31257B3A}"/>
  </bookViews>
  <sheets>
    <sheet name="Weigh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9" i="1"/>
  <c r="B55" i="1" l="1"/>
  <c r="I62" i="1" l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G60" i="1"/>
  <c r="F60" i="1"/>
  <c r="E60" i="1"/>
  <c r="D60" i="1"/>
  <c r="C60" i="1"/>
  <c r="B60" i="1"/>
  <c r="F59" i="1"/>
  <c r="E59" i="1"/>
  <c r="D59" i="1"/>
  <c r="C59" i="1"/>
  <c r="B59" i="1"/>
  <c r="E58" i="1"/>
  <c r="D58" i="1"/>
  <c r="C58" i="1"/>
  <c r="B58" i="1"/>
  <c r="D57" i="1"/>
  <c r="C57" i="1"/>
  <c r="B57" i="1"/>
  <c r="C56" i="1"/>
  <c r="B56" i="1"/>
  <c r="I25" i="1"/>
  <c r="H25" i="1"/>
  <c r="H24" i="1"/>
  <c r="G25" i="1"/>
  <c r="G24" i="1"/>
  <c r="G23" i="1"/>
  <c r="F25" i="1"/>
  <c r="F24" i="1"/>
  <c r="F23" i="1"/>
  <c r="F22" i="1"/>
  <c r="E25" i="1"/>
  <c r="E24" i="1"/>
  <c r="E23" i="1"/>
  <c r="E22" i="1"/>
  <c r="E21" i="1"/>
  <c r="J26" i="1"/>
  <c r="D25" i="1"/>
  <c r="D24" i="1"/>
  <c r="D23" i="1"/>
  <c r="D22" i="1"/>
  <c r="D21" i="1"/>
  <c r="D20" i="1"/>
  <c r="C25" i="1"/>
  <c r="C24" i="1"/>
  <c r="C23" i="1"/>
  <c r="C22" i="1"/>
  <c r="C21" i="1"/>
  <c r="C20" i="1"/>
  <c r="C19" i="1"/>
  <c r="B25" i="1"/>
  <c r="B24" i="1"/>
  <c r="B23" i="1"/>
  <c r="B22" i="1"/>
  <c r="B21" i="1"/>
  <c r="B20" i="1"/>
  <c r="I26" i="1" l="1"/>
  <c r="I38" i="1"/>
  <c r="I50" i="1" s="1"/>
  <c r="J31" i="1"/>
  <c r="J43" i="1" s="1"/>
  <c r="J35" i="1"/>
  <c r="J47" i="1" s="1"/>
  <c r="J30" i="1"/>
  <c r="J42" i="1" s="1"/>
  <c r="J32" i="1"/>
  <c r="J44" i="1" s="1"/>
  <c r="J36" i="1"/>
  <c r="J48" i="1" s="1"/>
  <c r="J33" i="1"/>
  <c r="J45" i="1" s="1"/>
  <c r="J37" i="1"/>
  <c r="J49" i="1" s="1"/>
  <c r="J34" i="1"/>
  <c r="J46" i="1" s="1"/>
  <c r="J38" i="1"/>
  <c r="J50" i="1" s="1"/>
  <c r="B26" i="1"/>
  <c r="B38" i="1" s="1"/>
  <c r="D26" i="1"/>
  <c r="C26" i="1"/>
  <c r="C38" i="1" s="1"/>
  <c r="C50" i="1" s="1"/>
  <c r="H26" i="1"/>
  <c r="H38" i="1" s="1"/>
  <c r="H50" i="1" s="1"/>
  <c r="G26" i="1"/>
  <c r="G38" i="1" s="1"/>
  <c r="G50" i="1" s="1"/>
  <c r="F26" i="1"/>
  <c r="F37" i="1" s="1"/>
  <c r="F49" i="1" s="1"/>
  <c r="E26" i="1"/>
  <c r="E34" i="1" s="1"/>
  <c r="E46" i="1" s="1"/>
  <c r="E38" i="1" l="1"/>
  <c r="E50" i="1" s="1"/>
  <c r="C34" i="1"/>
  <c r="C46" i="1" s="1"/>
  <c r="E36" i="1"/>
  <c r="E48" i="1" s="1"/>
  <c r="C37" i="1"/>
  <c r="C49" i="1" s="1"/>
  <c r="C32" i="1"/>
  <c r="C44" i="1" s="1"/>
  <c r="G36" i="1"/>
  <c r="G48" i="1" s="1"/>
  <c r="E35" i="1"/>
  <c r="E47" i="1" s="1"/>
  <c r="C35" i="1"/>
  <c r="C47" i="1" s="1"/>
  <c r="E37" i="1"/>
  <c r="E49" i="1" s="1"/>
  <c r="D31" i="1"/>
  <c r="D43" i="1" s="1"/>
  <c r="D30" i="1"/>
  <c r="D42" i="1" s="1"/>
  <c r="D32" i="1"/>
  <c r="D44" i="1" s="1"/>
  <c r="D35" i="1"/>
  <c r="D47" i="1" s="1"/>
  <c r="G32" i="1"/>
  <c r="G44" i="1" s="1"/>
  <c r="G33" i="1"/>
  <c r="G45" i="1" s="1"/>
  <c r="G34" i="1"/>
  <c r="G46" i="1" s="1"/>
  <c r="G30" i="1"/>
  <c r="G42" i="1" s="1"/>
  <c r="G31" i="1"/>
  <c r="G43" i="1" s="1"/>
  <c r="G35" i="1"/>
  <c r="G47" i="1" s="1"/>
  <c r="D37" i="1"/>
  <c r="D49" i="1" s="1"/>
  <c r="D38" i="1"/>
  <c r="D50" i="1" s="1"/>
  <c r="C33" i="1"/>
  <c r="C45" i="1" s="1"/>
  <c r="G37" i="1"/>
  <c r="G49" i="1" s="1"/>
  <c r="D34" i="1"/>
  <c r="D46" i="1" s="1"/>
  <c r="F31" i="1"/>
  <c r="F43" i="1" s="1"/>
  <c r="F30" i="1"/>
  <c r="F42" i="1" s="1"/>
  <c r="F32" i="1"/>
  <c r="F44" i="1" s="1"/>
  <c r="F33" i="1"/>
  <c r="F45" i="1" s="1"/>
  <c r="F34" i="1"/>
  <c r="F46" i="1" s="1"/>
  <c r="F38" i="1"/>
  <c r="F50" i="1" s="1"/>
  <c r="B30" i="1"/>
  <c r="B42" i="1" s="1"/>
  <c r="B32" i="1"/>
  <c r="B31" i="1"/>
  <c r="B43" i="1" s="1"/>
  <c r="D36" i="1"/>
  <c r="D48" i="1" s="1"/>
  <c r="I34" i="1"/>
  <c r="I46" i="1" s="1"/>
  <c r="I31" i="1"/>
  <c r="I43" i="1" s="1"/>
  <c r="I35" i="1"/>
  <c r="I47" i="1" s="1"/>
  <c r="I30" i="1"/>
  <c r="I42" i="1" s="1"/>
  <c r="I32" i="1"/>
  <c r="I44" i="1" s="1"/>
  <c r="I36" i="1"/>
  <c r="I48" i="1" s="1"/>
  <c r="I33" i="1"/>
  <c r="I45" i="1" s="1"/>
  <c r="I37" i="1"/>
  <c r="I49" i="1" s="1"/>
  <c r="B35" i="1"/>
  <c r="D33" i="1"/>
  <c r="D45" i="1" s="1"/>
  <c r="H33" i="1"/>
  <c r="H45" i="1" s="1"/>
  <c r="H34" i="1"/>
  <c r="H46" i="1" s="1"/>
  <c r="H31" i="1"/>
  <c r="H43" i="1" s="1"/>
  <c r="H35" i="1"/>
  <c r="H47" i="1" s="1"/>
  <c r="H30" i="1"/>
  <c r="H42" i="1" s="1"/>
  <c r="H32" i="1"/>
  <c r="H44" i="1" s="1"/>
  <c r="H36" i="1"/>
  <c r="H48" i="1" s="1"/>
  <c r="E31" i="1"/>
  <c r="E43" i="1" s="1"/>
  <c r="E30" i="1"/>
  <c r="E42" i="1" s="1"/>
  <c r="E32" i="1"/>
  <c r="E44" i="1" s="1"/>
  <c r="E33" i="1"/>
  <c r="E45" i="1" s="1"/>
  <c r="C30" i="1"/>
  <c r="C42" i="1" s="1"/>
  <c r="C31" i="1"/>
  <c r="C43" i="1" s="1"/>
  <c r="H37" i="1"/>
  <c r="H49" i="1" s="1"/>
  <c r="B33" i="1"/>
  <c r="B45" i="1" s="1"/>
  <c r="B36" i="1"/>
  <c r="B48" i="1" s="1"/>
  <c r="F36" i="1"/>
  <c r="F48" i="1" s="1"/>
  <c r="C36" i="1"/>
  <c r="C48" i="1" s="1"/>
  <c r="F35" i="1"/>
  <c r="F47" i="1" s="1"/>
  <c r="B34" i="1"/>
  <c r="B46" i="1" s="1"/>
  <c r="B37" i="1"/>
  <c r="B49" i="1" s="1"/>
  <c r="B50" i="1"/>
  <c r="B47" i="1"/>
  <c r="B44" i="1"/>
  <c r="K49" i="1" l="1"/>
  <c r="L84" i="1" s="1"/>
  <c r="B99" i="1" s="1"/>
  <c r="K44" i="1"/>
  <c r="K45" i="1"/>
  <c r="L80" i="1" s="1"/>
  <c r="B95" i="1" s="1"/>
  <c r="K48" i="1"/>
  <c r="L83" i="1" s="1"/>
  <c r="B98" i="1" s="1"/>
  <c r="K43" i="1"/>
  <c r="L78" i="1" s="1"/>
  <c r="B93" i="1" s="1"/>
  <c r="K47" i="1"/>
  <c r="L82" i="1" s="1"/>
  <c r="B97" i="1" s="1"/>
  <c r="K50" i="1"/>
  <c r="L85" i="1" s="1"/>
  <c r="B100" i="1" s="1"/>
  <c r="K42" i="1"/>
  <c r="K46" i="1"/>
  <c r="L81" i="1" s="1"/>
  <c r="B96" i="1" s="1"/>
  <c r="L79" i="1"/>
  <c r="B94" i="1" s="1"/>
  <c r="C69" i="1" l="1"/>
  <c r="C81" i="1" s="1"/>
  <c r="C71" i="1"/>
  <c r="C83" i="1" s="1"/>
  <c r="C73" i="1"/>
  <c r="C85" i="1" s="1"/>
  <c r="C72" i="1"/>
  <c r="C84" i="1" s="1"/>
  <c r="C67" i="1"/>
  <c r="C79" i="1" s="1"/>
  <c r="C70" i="1"/>
  <c r="C82" i="1" s="1"/>
  <c r="C68" i="1"/>
  <c r="C80" i="1" s="1"/>
  <c r="C65" i="1"/>
  <c r="C77" i="1" s="1"/>
  <c r="C66" i="1"/>
  <c r="C78" i="1" s="1"/>
  <c r="B65" i="1"/>
  <c r="B77" i="1" s="1"/>
  <c r="B72" i="1"/>
  <c r="B84" i="1" s="1"/>
  <c r="B71" i="1"/>
  <c r="B83" i="1" s="1"/>
  <c r="L77" i="1"/>
  <c r="B92" i="1" s="1"/>
  <c r="C95" i="1" s="1"/>
  <c r="B67" i="1"/>
  <c r="B79" i="1" s="1"/>
  <c r="B69" i="1"/>
  <c r="B81" i="1" s="1"/>
  <c r="B66" i="1"/>
  <c r="B78" i="1" s="1"/>
  <c r="B70" i="1"/>
  <c r="B82" i="1" s="1"/>
  <c r="B73" i="1"/>
  <c r="B85" i="1" s="1"/>
  <c r="B68" i="1"/>
  <c r="B80" i="1" s="1"/>
  <c r="J66" i="1"/>
  <c r="J70" i="1"/>
  <c r="J65" i="1"/>
  <c r="J72" i="1"/>
  <c r="J69" i="1"/>
  <c r="J67" i="1"/>
  <c r="J71" i="1"/>
  <c r="J68" i="1"/>
  <c r="J73" i="1"/>
  <c r="F66" i="1"/>
  <c r="F78" i="1" s="1"/>
  <c r="F65" i="1"/>
  <c r="F77" i="1" s="1"/>
  <c r="F68" i="1"/>
  <c r="F80" i="1" s="1"/>
  <c r="F69" i="1"/>
  <c r="F81" i="1" s="1"/>
  <c r="F67" i="1"/>
  <c r="F79" i="1" s="1"/>
  <c r="F72" i="1"/>
  <c r="F84" i="1" s="1"/>
  <c r="F71" i="1"/>
  <c r="F83" i="1" s="1"/>
  <c r="F73" i="1"/>
  <c r="F85" i="1" s="1"/>
  <c r="F70" i="1"/>
  <c r="F82" i="1" s="1"/>
  <c r="I69" i="1"/>
  <c r="I72" i="1"/>
  <c r="I66" i="1"/>
  <c r="I70" i="1"/>
  <c r="I65" i="1"/>
  <c r="I67" i="1"/>
  <c r="I71" i="1"/>
  <c r="I68" i="1"/>
  <c r="I73" i="1"/>
  <c r="D66" i="1"/>
  <c r="D78" i="1" s="1"/>
  <c r="D65" i="1"/>
  <c r="D77" i="1" s="1"/>
  <c r="D67" i="1"/>
  <c r="D79" i="1" s="1"/>
  <c r="D69" i="1"/>
  <c r="D81" i="1" s="1"/>
  <c r="D73" i="1"/>
  <c r="D85" i="1" s="1"/>
  <c r="D70" i="1"/>
  <c r="D82" i="1" s="1"/>
  <c r="D72" i="1"/>
  <c r="D84" i="1" s="1"/>
  <c r="D68" i="1"/>
  <c r="D80" i="1" s="1"/>
  <c r="D71" i="1"/>
  <c r="D83" i="1" s="1"/>
  <c r="E67" i="1"/>
  <c r="E79" i="1" s="1"/>
  <c r="E68" i="1"/>
  <c r="E80" i="1" s="1"/>
  <c r="E66" i="1"/>
  <c r="E78" i="1" s="1"/>
  <c r="E65" i="1"/>
  <c r="E77" i="1" s="1"/>
  <c r="E71" i="1"/>
  <c r="E83" i="1" s="1"/>
  <c r="E73" i="1"/>
  <c r="E85" i="1" s="1"/>
  <c r="E72" i="1"/>
  <c r="E84" i="1" s="1"/>
  <c r="E70" i="1"/>
  <c r="E82" i="1" s="1"/>
  <c r="E69" i="1"/>
  <c r="E81" i="1" s="1"/>
  <c r="H68" i="1"/>
  <c r="H66" i="1"/>
  <c r="H65" i="1"/>
  <c r="H77" i="1" s="1"/>
  <c r="H71" i="1"/>
  <c r="H69" i="1"/>
  <c r="H70" i="1"/>
  <c r="H67" i="1"/>
  <c r="H72" i="1"/>
  <c r="H73" i="1"/>
  <c r="G67" i="1"/>
  <c r="G79" i="1" s="1"/>
  <c r="G70" i="1"/>
  <c r="G82" i="1" s="1"/>
  <c r="G68" i="1"/>
  <c r="G80" i="1" s="1"/>
  <c r="G69" i="1"/>
  <c r="G81" i="1" s="1"/>
  <c r="G66" i="1"/>
  <c r="G78" i="1" s="1"/>
  <c r="G65" i="1"/>
  <c r="G77" i="1" s="1"/>
  <c r="G71" i="1"/>
  <c r="G83" i="1" s="1"/>
  <c r="G72" i="1"/>
  <c r="G84" i="1" s="1"/>
  <c r="G73" i="1"/>
  <c r="G85" i="1" s="1"/>
  <c r="C98" i="1" l="1"/>
  <c r="C94" i="1"/>
  <c r="C93" i="1"/>
  <c r="C92" i="1"/>
  <c r="C99" i="1"/>
  <c r="C100" i="1"/>
  <c r="C96" i="1"/>
  <c r="C97" i="1"/>
  <c r="K84" i="1"/>
  <c r="M84" i="1" s="1"/>
  <c r="K83" i="1"/>
  <c r="M83" i="1" s="1"/>
  <c r="K80" i="1"/>
  <c r="M80" i="1" s="1"/>
  <c r="K81" i="1"/>
  <c r="M81" i="1" s="1"/>
  <c r="K77" i="1"/>
  <c r="M77" i="1" s="1"/>
  <c r="K79" i="1"/>
  <c r="M79" i="1" s="1"/>
  <c r="K82" i="1"/>
  <c r="M82" i="1" s="1"/>
  <c r="K85" i="1"/>
  <c r="M85" i="1" s="1"/>
  <c r="K78" i="1"/>
  <c r="M78" i="1" s="1"/>
  <c r="M86" i="1" l="1"/>
  <c r="M87" i="1" s="1"/>
  <c r="M88" i="1" s="1"/>
</calcChain>
</file>

<file path=xl/sharedStrings.xml><?xml version="1.0" encoding="utf-8"?>
<sst xmlns="http://schemas.openxmlformats.org/spreadsheetml/2006/main" count="201" uniqueCount="44">
  <si>
    <t>Tiêu chí</t>
  </si>
  <si>
    <t>SUM</t>
  </si>
  <si>
    <t>Trọng số</t>
  </si>
  <si>
    <t>Tổng trọng số các tiêu chí</t>
  </si>
  <si>
    <t>Trọng số từng tiêu chí</t>
  </si>
  <si>
    <t>Vector nhất quán</t>
  </si>
  <si>
    <t>Tính chỉ số nhất quán CI</t>
  </si>
  <si>
    <t>Tính tỷ số nhất quán CR</t>
  </si>
  <si>
    <t>Áp dụng trọng số các tiêu chí để đánh giá phương án lựa chọn</t>
  </si>
  <si>
    <t>Xếp hạng</t>
  </si>
  <si>
    <t>&lt;10%</t>
  </si>
  <si>
    <t xml:space="preserve">1. Lập ma trận so sánh cặp (9x9) </t>
  </si>
  <si>
    <t>Giá</t>
  </si>
  <si>
    <t>Pháp lý</t>
  </si>
  <si>
    <t>Vị trí</t>
  </si>
  <si>
    <t>L.Hình</t>
  </si>
  <si>
    <t>D.Tích</t>
  </si>
  <si>
    <t>L.Đường</t>
  </si>
  <si>
    <t>T.Ích</t>
  </si>
  <si>
    <t>Quận</t>
  </si>
  <si>
    <t>H.Thể</t>
  </si>
  <si>
    <t>Loại hình</t>
  </si>
  <si>
    <t>Diện tích</t>
  </si>
  <si>
    <t>Loại đường</t>
  </si>
  <si>
    <t>Tiện ích</t>
  </si>
  <si>
    <t>Hình thể</t>
  </si>
  <si>
    <t>1/2</t>
  </si>
  <si>
    <t>1/3</t>
  </si>
  <si>
    <t>1/4</t>
  </si>
  <si>
    <t>1/5</t>
  </si>
  <si>
    <t>1/6</t>
  </si>
  <si>
    <t>1/7</t>
  </si>
  <si>
    <t>1/8</t>
  </si>
  <si>
    <t xml:space="preserve">2. Các bước tính toán trên Excel </t>
  </si>
  <si>
    <t>*** Tính tổng cột</t>
  </si>
  <si>
    <t>*** Chuẩn hoá ma trận</t>
  </si>
  <si>
    <t>*** Tính trọng số các tiêu chí</t>
  </si>
  <si>
    <t>3. Kiểm tra tính nhất quán (CR) 
   - Tính lambda_max: Tính trung bình cộng của vector nhất quán.
   - Tính chỉ số CI: CI = lambda_max - n /n - 1 (với n = 9).
   - Tính tỷ số CR: CR = CI / RI. Với n = 9, tra bảng chỉ số ngẫu nhiên ta có RI = 1.45.
           =&gt; Kết quả đạt yêu cầu: Nếu CR &lt; 10%.</t>
  </si>
  <si>
    <t xml:space="preserve"> - Tính lambda_max </t>
  </si>
  <si>
    <t>- Tính vector nhất quán</t>
  </si>
  <si>
    <t>- Tính giá trị riêng lớn nhất của ma trận so sánh (Lamdamax)</t>
  </si>
  <si>
    <t>Đạt</t>
  </si>
  <si>
    <t>`</t>
  </si>
  <si>
    <t>HỆ THỐNG HỖ TRỢ  QUYẾT ĐỊNH BẤT ĐỘNG SẢN
Họ và tên: Nguyễn Thị Diệu Hiền- Nguyễn Thị Kim Nga - Nguyễn Hoàng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</si>
</sst>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0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0" fontId="5" fillId="2" borderId="1" xfId="0" applyFont="1" applyFill="1" applyBorder="1" applyAlignment="1">
      <alignment wrapText="1"/>
    </xf>
    <xf numFmtId="0" fontId="5" fillId="0" borderId="0" xfId="0" applyFont="1" applyAlignment="1">
      <alignment horizontal="center"/>
    </xf>
    <xf numFmtId="0" fontId="1" fillId="0" borderId="0" xfId="0" applyFont="1"/>
    <xf numFmtId="2" fontId="5" fillId="0" borderId="0" xfId="0" applyNumberFormat="1" applyFont="1" applyAlignment="1">
      <alignment horizontal="center"/>
    </xf>
    <xf numFmtId="166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right" wrapText="1"/>
    </xf>
    <xf numFmtId="16" fontId="6" fillId="0" borderId="1" xfId="0" applyNumberFormat="1" applyFont="1" applyBorder="1" applyAlignment="1">
      <alignment horizontal="right" wrapText="1"/>
    </xf>
    <xf numFmtId="16" fontId="6" fillId="0" borderId="1" xfId="0" quotePrefix="1" applyNumberFormat="1" applyFont="1" applyBorder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6" fillId="0" borderId="0" xfId="0" applyFont="1" applyAlignment="1">
      <alignment wrapText="1"/>
    </xf>
    <xf numFmtId="16" fontId="6" fillId="0" borderId="0" xfId="0" quotePrefix="1" applyNumberFormat="1" applyFont="1" applyAlignment="1">
      <alignment horizontal="right" wrapText="1"/>
    </xf>
    <xf numFmtId="16" fontId="6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right" wrapText="1"/>
    </xf>
    <xf numFmtId="0" fontId="5" fillId="0" borderId="1" xfId="0" applyFont="1" applyBorder="1"/>
    <xf numFmtId="2" fontId="4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right" wrapText="1"/>
    </xf>
    <xf numFmtId="0" fontId="8" fillId="0" borderId="0" xfId="0" applyFont="1" applyAlignment="1">
      <alignment horizontal="left" vertical="center" wrapText="1"/>
    </xf>
    <xf numFmtId="0" fontId="6" fillId="0" borderId="1" xfId="0" applyFont="1" applyBorder="1"/>
    <xf numFmtId="0" fontId="10" fillId="0" borderId="0" xfId="0" applyFont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3" xfId="0" applyFont="1" applyBorder="1" applyAlignment="1">
      <alignment wrapText="1"/>
    </xf>
    <xf numFmtId="0" fontId="4" fillId="0" borderId="1" xfId="0" applyFont="1" applyBorder="1"/>
    <xf numFmtId="0" fontId="11" fillId="0" borderId="1" xfId="0" applyFont="1" applyBorder="1" applyAlignment="1">
      <alignment horizontal="right" wrapText="1"/>
    </xf>
    <xf numFmtId="0" fontId="10" fillId="0" borderId="0" xfId="0" quotePrefix="1" applyFont="1" applyAlignment="1">
      <alignment horizontal="left" vertical="center" wrapText="1"/>
    </xf>
    <xf numFmtId="165" fontId="9" fillId="6" borderId="1" xfId="0" applyNumberFormat="1" applyFont="1" applyFill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horizontal="right"/>
    </xf>
    <xf numFmtId="0" fontId="12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/>
    <xf numFmtId="0" fontId="13" fillId="0" borderId="1" xfId="0" applyFont="1" applyBorder="1" applyAlignment="1">
      <alignment vertical="center" wrapText="1"/>
    </xf>
    <xf numFmtId="16" fontId="11" fillId="0" borderId="1" xfId="0" quotePrefix="1" applyNumberFormat="1" applyFont="1" applyBorder="1" applyAlignment="1">
      <alignment horizontal="right" wrapText="1"/>
    </xf>
    <xf numFmtId="0" fontId="5" fillId="2" borderId="0" xfId="0" applyFont="1" applyFill="1"/>
    <xf numFmtId="0" fontId="6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/>
    </xf>
    <xf numFmtId="0" fontId="8" fillId="5" borderId="0" xfId="0" applyFont="1" applyFill="1"/>
    <xf numFmtId="165" fontId="8" fillId="8" borderId="0" xfId="0" applyNumberFormat="1" applyFont="1" applyFill="1"/>
    <xf numFmtId="165" fontId="8" fillId="9" borderId="0" xfId="0" applyNumberFormat="1" applyFont="1" applyFill="1"/>
    <xf numFmtId="0" fontId="7" fillId="0" borderId="0" xfId="0" applyFont="1" applyAlignment="1">
      <alignment horizontal="center" wrapText="1"/>
    </xf>
    <xf numFmtId="0" fontId="8" fillId="0" borderId="7" xfId="0" quotePrefix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0" fillId="0" borderId="0" xfId="0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1C04-8C60-43B4-B169-A138F992343E}">
  <dimension ref="A1:O100"/>
  <sheetViews>
    <sheetView tabSelected="1" topLeftCell="A58" zoomScale="90" zoomScaleNormal="90" workbookViewId="0">
      <selection sqref="A1:J1"/>
    </sheetView>
  </sheetViews>
  <sheetFormatPr defaultRowHeight="15.6" x14ac:dyDescent="0.3"/>
  <cols>
    <col min="1" max="1" width="14.33203125" style="3" customWidth="1"/>
    <col min="2" max="8" width="12.33203125" style="3" customWidth="1"/>
    <col min="9" max="9" width="12.33203125" style="6" customWidth="1"/>
    <col min="10" max="10" width="12.33203125" style="3" customWidth="1"/>
    <col min="11" max="13" width="19" style="3" customWidth="1"/>
    <col min="14" max="16384" width="8.88671875" style="3"/>
  </cols>
  <sheetData>
    <row r="1" spans="1:11" ht="61.2" customHeight="1" x14ac:dyDescent="0.35">
      <c r="A1" s="48" t="s">
        <v>43</v>
      </c>
      <c r="B1" s="48"/>
      <c r="C1" s="48"/>
      <c r="D1" s="48"/>
      <c r="E1" s="48"/>
      <c r="F1" s="48"/>
      <c r="G1" s="48"/>
      <c r="H1" s="48"/>
      <c r="I1" s="48"/>
      <c r="J1" s="48"/>
      <c r="K1" s="10"/>
    </row>
    <row r="2" spans="1:11" ht="34.200000000000003" customHeight="1" x14ac:dyDescent="0.35">
      <c r="A2" s="56" t="s">
        <v>11</v>
      </c>
      <c r="B2" s="56"/>
      <c r="C2" s="56"/>
      <c r="D2" s="56"/>
      <c r="E2" s="56"/>
      <c r="F2" s="56"/>
      <c r="G2" s="56"/>
      <c r="H2" s="56"/>
      <c r="I2" s="56"/>
      <c r="J2" s="56"/>
      <c r="K2" s="10"/>
    </row>
    <row r="3" spans="1:11" ht="26.4" customHeight="1" x14ac:dyDescent="0.35">
      <c r="A3" s="27" t="s">
        <v>0</v>
      </c>
      <c r="B3" s="27" t="s">
        <v>12</v>
      </c>
      <c r="C3" s="27" t="s">
        <v>13</v>
      </c>
      <c r="D3" s="27" t="s">
        <v>14</v>
      </c>
      <c r="E3" s="27" t="s">
        <v>15</v>
      </c>
      <c r="F3" s="27" t="s">
        <v>16</v>
      </c>
      <c r="G3" s="27" t="s">
        <v>17</v>
      </c>
      <c r="H3" s="27" t="s">
        <v>18</v>
      </c>
      <c r="I3" s="27" t="s">
        <v>19</v>
      </c>
      <c r="J3" s="27" t="s">
        <v>20</v>
      </c>
      <c r="K3" s="10"/>
    </row>
    <row r="4" spans="1:11" ht="26.4" customHeight="1" x14ac:dyDescent="0.35">
      <c r="A4" s="27" t="s">
        <v>12</v>
      </c>
      <c r="B4" s="16">
        <v>1</v>
      </c>
      <c r="C4" s="13">
        <v>2</v>
      </c>
      <c r="D4" s="13">
        <v>3</v>
      </c>
      <c r="E4" s="13">
        <v>3</v>
      </c>
      <c r="F4" s="13">
        <v>4</v>
      </c>
      <c r="G4" s="13">
        <v>5</v>
      </c>
      <c r="H4" s="13">
        <v>6</v>
      </c>
      <c r="I4" s="31">
        <v>7</v>
      </c>
      <c r="J4" s="13">
        <v>8</v>
      </c>
      <c r="K4" s="10"/>
    </row>
    <row r="5" spans="1:11" ht="26.4" customHeight="1" x14ac:dyDescent="0.35">
      <c r="A5" s="27" t="s">
        <v>13</v>
      </c>
      <c r="B5" s="15" t="s">
        <v>26</v>
      </c>
      <c r="C5" s="16">
        <v>1</v>
      </c>
      <c r="D5" s="13">
        <v>2</v>
      </c>
      <c r="E5" s="13">
        <v>2</v>
      </c>
      <c r="F5" s="13">
        <v>3</v>
      </c>
      <c r="G5" s="13">
        <v>4</v>
      </c>
      <c r="H5" s="13">
        <v>5</v>
      </c>
      <c r="I5" s="13">
        <v>6</v>
      </c>
      <c r="J5" s="13">
        <v>7</v>
      </c>
      <c r="K5" s="10"/>
    </row>
    <row r="6" spans="1:11" ht="26.4" customHeight="1" x14ac:dyDescent="0.35">
      <c r="A6" s="27" t="s">
        <v>14</v>
      </c>
      <c r="B6" s="15" t="s">
        <v>27</v>
      </c>
      <c r="C6" s="15" t="s">
        <v>26</v>
      </c>
      <c r="D6" s="16">
        <v>1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0"/>
    </row>
    <row r="7" spans="1:11" ht="26.4" customHeight="1" x14ac:dyDescent="0.35">
      <c r="A7" s="27" t="s">
        <v>21</v>
      </c>
      <c r="B7" s="15" t="s">
        <v>27</v>
      </c>
      <c r="C7" s="15" t="s">
        <v>26</v>
      </c>
      <c r="D7" s="13">
        <v>1</v>
      </c>
      <c r="E7" s="16">
        <v>1</v>
      </c>
      <c r="F7" s="43">
        <v>2</v>
      </c>
      <c r="G7" s="13">
        <v>3</v>
      </c>
      <c r="H7" s="13">
        <v>4</v>
      </c>
      <c r="I7" s="13">
        <v>5</v>
      </c>
      <c r="J7" s="13">
        <v>6</v>
      </c>
      <c r="K7" s="10"/>
    </row>
    <row r="8" spans="1:11" ht="26.4" customHeight="1" x14ac:dyDescent="0.35">
      <c r="A8" s="27" t="s">
        <v>22</v>
      </c>
      <c r="B8" s="15" t="s">
        <v>28</v>
      </c>
      <c r="C8" s="15" t="s">
        <v>27</v>
      </c>
      <c r="D8" s="15" t="s">
        <v>26</v>
      </c>
      <c r="E8" s="15" t="s">
        <v>26</v>
      </c>
      <c r="F8" s="16">
        <v>1</v>
      </c>
      <c r="G8" s="13">
        <v>2</v>
      </c>
      <c r="H8" s="13">
        <v>3</v>
      </c>
      <c r="I8" s="13">
        <v>4</v>
      </c>
      <c r="J8" s="13">
        <v>5</v>
      </c>
      <c r="K8" s="10"/>
    </row>
    <row r="9" spans="1:11" ht="26.4" customHeight="1" x14ac:dyDescent="0.35">
      <c r="A9" s="27" t="s">
        <v>23</v>
      </c>
      <c r="B9" s="15" t="s">
        <v>29</v>
      </c>
      <c r="C9" s="15" t="s">
        <v>28</v>
      </c>
      <c r="D9" s="15" t="s">
        <v>27</v>
      </c>
      <c r="E9" s="15" t="s">
        <v>27</v>
      </c>
      <c r="F9" s="15" t="s">
        <v>26</v>
      </c>
      <c r="G9" s="16">
        <v>1</v>
      </c>
      <c r="H9" s="13">
        <v>2</v>
      </c>
      <c r="I9" s="13">
        <v>3</v>
      </c>
      <c r="J9" s="13">
        <v>4</v>
      </c>
      <c r="K9" s="10"/>
    </row>
    <row r="10" spans="1:11" ht="26.4" customHeight="1" x14ac:dyDescent="0.35">
      <c r="A10" s="27" t="s">
        <v>24</v>
      </c>
      <c r="B10" s="15" t="s">
        <v>30</v>
      </c>
      <c r="C10" s="15" t="s">
        <v>29</v>
      </c>
      <c r="D10" s="15" t="s">
        <v>28</v>
      </c>
      <c r="E10" s="15" t="s">
        <v>28</v>
      </c>
      <c r="F10" s="15" t="s">
        <v>27</v>
      </c>
      <c r="G10" s="15" t="s">
        <v>26</v>
      </c>
      <c r="H10" s="16">
        <v>1</v>
      </c>
      <c r="I10" s="13">
        <v>2</v>
      </c>
      <c r="J10" s="13">
        <v>3</v>
      </c>
      <c r="K10" s="10"/>
    </row>
    <row r="11" spans="1:11" ht="26.4" customHeight="1" x14ac:dyDescent="0.35">
      <c r="A11" s="27" t="s">
        <v>19</v>
      </c>
      <c r="B11" s="41" t="s">
        <v>31</v>
      </c>
      <c r="C11" s="15" t="s">
        <v>30</v>
      </c>
      <c r="D11" s="15" t="s">
        <v>29</v>
      </c>
      <c r="E11" s="14" t="s">
        <v>29</v>
      </c>
      <c r="F11" s="15" t="s">
        <v>28</v>
      </c>
      <c r="G11" s="15" t="s">
        <v>27</v>
      </c>
      <c r="H11" s="15" t="s">
        <v>26</v>
      </c>
      <c r="I11" s="16">
        <v>1</v>
      </c>
      <c r="J11" s="13">
        <v>2</v>
      </c>
      <c r="K11" s="10"/>
    </row>
    <row r="12" spans="1:11" ht="26.4" customHeight="1" x14ac:dyDescent="0.35">
      <c r="A12" s="27" t="s">
        <v>25</v>
      </c>
      <c r="B12" s="15" t="s">
        <v>32</v>
      </c>
      <c r="C12" s="15" t="s">
        <v>31</v>
      </c>
      <c r="D12" s="15" t="s">
        <v>30</v>
      </c>
      <c r="E12" s="14" t="s">
        <v>30</v>
      </c>
      <c r="F12" s="14" t="s">
        <v>29</v>
      </c>
      <c r="G12" s="15" t="s">
        <v>28</v>
      </c>
      <c r="H12" s="15" t="s">
        <v>27</v>
      </c>
      <c r="I12" s="15" t="s">
        <v>26</v>
      </c>
      <c r="J12" s="16">
        <v>1</v>
      </c>
      <c r="K12" s="10"/>
    </row>
    <row r="13" spans="1:11" ht="26.4" customHeight="1" x14ac:dyDescent="0.35">
      <c r="A13" s="17"/>
      <c r="B13" s="18"/>
      <c r="C13" s="18"/>
      <c r="D13" s="18"/>
      <c r="E13" s="19"/>
      <c r="F13" s="19"/>
      <c r="G13" s="18"/>
      <c r="H13" s="18"/>
      <c r="I13" s="18"/>
      <c r="J13" s="20"/>
      <c r="K13" s="10"/>
    </row>
    <row r="14" spans="1:11" ht="26.4" customHeight="1" x14ac:dyDescent="0.35">
      <c r="A14" s="56" t="s">
        <v>33</v>
      </c>
      <c r="B14" s="56"/>
      <c r="C14" s="56"/>
      <c r="D14" s="56"/>
      <c r="E14" s="56"/>
      <c r="F14" s="56"/>
      <c r="G14" s="56"/>
      <c r="H14" s="56"/>
      <c r="I14" s="56"/>
      <c r="J14" s="56"/>
      <c r="K14" s="10"/>
    </row>
    <row r="15" spans="1:11" ht="28.2" customHeight="1" x14ac:dyDescent="0.3">
      <c r="A15" s="57" t="s">
        <v>34</v>
      </c>
      <c r="B15" s="57"/>
      <c r="C15" s="57"/>
      <c r="D15" s="57"/>
      <c r="E15" s="57"/>
      <c r="F15" s="57"/>
      <c r="G15" s="57"/>
      <c r="H15" s="57"/>
      <c r="I15" s="57"/>
      <c r="J15" s="57"/>
    </row>
    <row r="16" spans="1:11" ht="25.8" customHeight="1" x14ac:dyDescent="0.3">
      <c r="A16" s="27" t="s">
        <v>0</v>
      </c>
      <c r="B16" s="27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17</v>
      </c>
      <c r="H16" s="27" t="s">
        <v>18</v>
      </c>
      <c r="I16" s="27" t="s">
        <v>19</v>
      </c>
      <c r="J16" s="27" t="s">
        <v>20</v>
      </c>
    </row>
    <row r="17" spans="1:13" ht="18" x14ac:dyDescent="0.35">
      <c r="A17" s="27" t="s">
        <v>12</v>
      </c>
      <c r="B17" s="16">
        <v>1</v>
      </c>
      <c r="C17" s="13">
        <v>2</v>
      </c>
      <c r="D17" s="13">
        <v>3</v>
      </c>
      <c r="E17" s="13">
        <v>3</v>
      </c>
      <c r="F17" s="13">
        <v>4</v>
      </c>
      <c r="G17" s="13">
        <v>5</v>
      </c>
      <c r="H17" s="13">
        <v>6</v>
      </c>
      <c r="I17" s="13">
        <v>7</v>
      </c>
      <c r="J17" s="13">
        <v>8</v>
      </c>
    </row>
    <row r="18" spans="1:13" ht="18" x14ac:dyDescent="0.35">
      <c r="A18" s="27" t="s">
        <v>13</v>
      </c>
      <c r="B18" s="23">
        <f>$B$17/C17</f>
        <v>0.5</v>
      </c>
      <c r="C18" s="16">
        <v>1</v>
      </c>
      <c r="D18" s="13">
        <v>2</v>
      </c>
      <c r="E18" s="13">
        <v>2</v>
      </c>
      <c r="F18" s="13">
        <v>3</v>
      </c>
      <c r="G18" s="13">
        <v>4</v>
      </c>
      <c r="H18" s="13">
        <v>5</v>
      </c>
      <c r="I18" s="13">
        <v>6</v>
      </c>
      <c r="J18" s="13">
        <v>7</v>
      </c>
    </row>
    <row r="19" spans="1:13" ht="18" x14ac:dyDescent="0.35">
      <c r="A19" s="27" t="s">
        <v>14</v>
      </c>
      <c r="B19" s="23">
        <f>$B$17/D17</f>
        <v>0.33333333333333331</v>
      </c>
      <c r="C19" s="23">
        <f>$C$18/D18</f>
        <v>0.5</v>
      </c>
      <c r="D19" s="16">
        <v>1</v>
      </c>
      <c r="E19" s="13">
        <v>1</v>
      </c>
      <c r="F19" s="13">
        <v>2</v>
      </c>
      <c r="G19" s="13">
        <v>3</v>
      </c>
      <c r="H19" s="13">
        <v>4</v>
      </c>
      <c r="I19" s="13">
        <v>5</v>
      </c>
      <c r="J19" s="13">
        <v>6</v>
      </c>
    </row>
    <row r="20" spans="1:13" ht="18" x14ac:dyDescent="0.35">
      <c r="A20" s="27" t="s">
        <v>21</v>
      </c>
      <c r="B20" s="23">
        <f>$B$17/E17</f>
        <v>0.33333333333333331</v>
      </c>
      <c r="C20" s="23">
        <f>$C$18/E18</f>
        <v>0.5</v>
      </c>
      <c r="D20" s="13">
        <f>$D$19/E19</f>
        <v>1</v>
      </c>
      <c r="E20" s="16">
        <v>1</v>
      </c>
      <c r="F20" s="13">
        <v>2</v>
      </c>
      <c r="G20" s="13">
        <v>3</v>
      </c>
      <c r="H20" s="13">
        <v>4</v>
      </c>
      <c r="I20" s="13">
        <v>5</v>
      </c>
      <c r="J20" s="13">
        <v>6</v>
      </c>
    </row>
    <row r="21" spans="1:13" ht="18" x14ac:dyDescent="0.35">
      <c r="A21" s="27" t="s">
        <v>22</v>
      </c>
      <c r="B21" s="23">
        <f>$B$17/F17</f>
        <v>0.25</v>
      </c>
      <c r="C21" s="23">
        <f>$C$18/F18</f>
        <v>0.33333333333333331</v>
      </c>
      <c r="D21" s="13">
        <f>$D$19/F19</f>
        <v>0.5</v>
      </c>
      <c r="E21" s="13">
        <f>$E$20/F20</f>
        <v>0.5</v>
      </c>
      <c r="F21" s="16">
        <v>1</v>
      </c>
      <c r="G21" s="13">
        <v>2</v>
      </c>
      <c r="H21" s="13">
        <v>3</v>
      </c>
      <c r="I21" s="13">
        <v>4</v>
      </c>
      <c r="J21" s="13">
        <v>5</v>
      </c>
    </row>
    <row r="22" spans="1:13" ht="23.4" customHeight="1" x14ac:dyDescent="0.35">
      <c r="A22" s="27" t="s">
        <v>23</v>
      </c>
      <c r="B22" s="23">
        <f>$B$17/G17</f>
        <v>0.2</v>
      </c>
      <c r="C22" s="23">
        <f>$C$18/G18</f>
        <v>0.25</v>
      </c>
      <c r="D22" s="13">
        <f>$D$19/G19</f>
        <v>0.33333333333333331</v>
      </c>
      <c r="E22" s="13">
        <f>$E$20/G20</f>
        <v>0.33333333333333331</v>
      </c>
      <c r="F22" s="23">
        <f>$F$21/G21</f>
        <v>0.5</v>
      </c>
      <c r="G22" s="16">
        <v>1</v>
      </c>
      <c r="H22" s="13">
        <v>2</v>
      </c>
      <c r="I22" s="13">
        <v>3</v>
      </c>
      <c r="J22" s="13">
        <v>4</v>
      </c>
    </row>
    <row r="23" spans="1:13" ht="18" x14ac:dyDescent="0.35">
      <c r="A23" s="27" t="s">
        <v>24</v>
      </c>
      <c r="B23" s="23">
        <f>$B$17/H17</f>
        <v>0.16666666666666666</v>
      </c>
      <c r="C23" s="23">
        <f>$C$18/H18</f>
        <v>0.2</v>
      </c>
      <c r="D23" s="13">
        <f>$D$19/H19</f>
        <v>0.25</v>
      </c>
      <c r="E23" s="13">
        <f>$E$20/H20</f>
        <v>0.25</v>
      </c>
      <c r="F23" s="23">
        <f>$F$21/H21</f>
        <v>0.33333333333333331</v>
      </c>
      <c r="G23" s="23">
        <f>$G$22/H22</f>
        <v>0.5</v>
      </c>
      <c r="H23" s="16">
        <v>1</v>
      </c>
      <c r="I23" s="13">
        <v>2</v>
      </c>
      <c r="J23" s="13">
        <v>3</v>
      </c>
    </row>
    <row r="24" spans="1:13" ht="18" x14ac:dyDescent="0.35">
      <c r="A24" s="27" t="s">
        <v>19</v>
      </c>
      <c r="B24" s="23">
        <f>$B$17/I17</f>
        <v>0.14285714285714285</v>
      </c>
      <c r="C24" s="23">
        <f>$C$18/I18</f>
        <v>0.16666666666666666</v>
      </c>
      <c r="D24" s="13">
        <f>$D$19/I19</f>
        <v>0.2</v>
      </c>
      <c r="E24" s="13">
        <f>$E$20/I20</f>
        <v>0.2</v>
      </c>
      <c r="F24" s="23">
        <f>$F$21/I21</f>
        <v>0.25</v>
      </c>
      <c r="G24" s="23">
        <f>$G$22/I22</f>
        <v>0.33333333333333331</v>
      </c>
      <c r="H24" s="23">
        <f>$H$23/I23</f>
        <v>0.5</v>
      </c>
      <c r="I24" s="16">
        <v>1</v>
      </c>
      <c r="J24" s="13">
        <v>2</v>
      </c>
    </row>
    <row r="25" spans="1:13" ht="18" x14ac:dyDescent="0.35">
      <c r="A25" s="27" t="s">
        <v>25</v>
      </c>
      <c r="B25" s="23">
        <f>$B$17/J17</f>
        <v>0.125</v>
      </c>
      <c r="C25" s="23">
        <f>$C$18/J18</f>
        <v>0.14285714285714285</v>
      </c>
      <c r="D25" s="13">
        <f>$D$19/J19</f>
        <v>0.16666666666666666</v>
      </c>
      <c r="E25" s="13">
        <f>$E$20/J20</f>
        <v>0.16666666666666666</v>
      </c>
      <c r="F25" s="23">
        <f>$F$21/J21</f>
        <v>0.2</v>
      </c>
      <c r="G25" s="23">
        <f>$G$22/J22</f>
        <v>0.25</v>
      </c>
      <c r="H25" s="23">
        <f>$H$23/J23</f>
        <v>0.33333333333333331</v>
      </c>
      <c r="I25" s="23">
        <f>$I$24/J24</f>
        <v>0.5</v>
      </c>
      <c r="J25" s="16">
        <v>1</v>
      </c>
    </row>
    <row r="26" spans="1:13" x14ac:dyDescent="0.3">
      <c r="A26" s="40" t="s">
        <v>1</v>
      </c>
      <c r="B26" s="22">
        <f>SUM(B17:B25)</f>
        <v>3.051190476190476</v>
      </c>
      <c r="C26" s="22">
        <f>SUM(C17:C25)</f>
        <v>5.0928571428571434</v>
      </c>
      <c r="D26" s="22">
        <f t="shared" ref="D26:J26" si="0">SUM(D17:D25)</f>
        <v>8.4499999999999975</v>
      </c>
      <c r="E26" s="22">
        <f t="shared" si="0"/>
        <v>8.4499999999999975</v>
      </c>
      <c r="F26" s="22">
        <f t="shared" si="0"/>
        <v>13.283333333333333</v>
      </c>
      <c r="G26" s="22">
        <f t="shared" si="0"/>
        <v>19.083333333333332</v>
      </c>
      <c r="H26" s="22">
        <f t="shared" si="0"/>
        <v>25.833333333333332</v>
      </c>
      <c r="I26" s="22">
        <f t="shared" si="0"/>
        <v>33.5</v>
      </c>
      <c r="J26" s="22">
        <f t="shared" si="0"/>
        <v>42</v>
      </c>
    </row>
    <row r="27" spans="1:13" x14ac:dyDescent="0.3">
      <c r="I27" s="8"/>
    </row>
    <row r="28" spans="1:13" ht="33" customHeight="1" x14ac:dyDescent="0.3">
      <c r="A28" s="58" t="s">
        <v>35</v>
      </c>
      <c r="B28" s="58"/>
      <c r="C28" s="58"/>
      <c r="D28" s="58"/>
      <c r="E28" s="58"/>
      <c r="F28" s="58"/>
      <c r="G28" s="58"/>
      <c r="H28" s="58"/>
      <c r="I28" s="58"/>
      <c r="J28" s="58"/>
      <c r="M28" s="4"/>
    </row>
    <row r="29" spans="1:13" ht="22.2" customHeight="1" x14ac:dyDescent="0.3">
      <c r="A29" s="27" t="s">
        <v>0</v>
      </c>
      <c r="B29" s="27" t="s">
        <v>12</v>
      </c>
      <c r="C29" s="27" t="s">
        <v>13</v>
      </c>
      <c r="D29" s="27" t="s">
        <v>14</v>
      </c>
      <c r="E29" s="27" t="s">
        <v>15</v>
      </c>
      <c r="F29" s="27" t="s">
        <v>16</v>
      </c>
      <c r="G29" s="27" t="s">
        <v>17</v>
      </c>
      <c r="H29" s="27" t="s">
        <v>18</v>
      </c>
      <c r="I29" s="27" t="s">
        <v>19</v>
      </c>
      <c r="J29" s="27" t="s">
        <v>20</v>
      </c>
      <c r="M29" s="4"/>
    </row>
    <row r="30" spans="1:13" ht="22.2" customHeight="1" x14ac:dyDescent="0.35">
      <c r="A30" s="27" t="s">
        <v>12</v>
      </c>
      <c r="B30" s="16">
        <f>B17/$B$26</f>
        <v>0.32774092859929771</v>
      </c>
      <c r="C30" s="13">
        <f>C17/$C$26</f>
        <v>0.39270687237026641</v>
      </c>
      <c r="D30" s="13">
        <f>D17/$D$26</f>
        <v>0.35502958579881666</v>
      </c>
      <c r="E30" s="13">
        <f>E17/$E$26</f>
        <v>0.35502958579881666</v>
      </c>
      <c r="F30" s="13">
        <f>F17/$F$26</f>
        <v>0.30112923462986196</v>
      </c>
      <c r="G30" s="13">
        <f>G17/$G$26</f>
        <v>0.26200873362445415</v>
      </c>
      <c r="H30" s="13">
        <f>H17/$H$26</f>
        <v>0.23225806451612904</v>
      </c>
      <c r="I30" s="13">
        <f>I17/$I$26</f>
        <v>0.20895522388059701</v>
      </c>
      <c r="J30" s="13">
        <f>J17/$J$26</f>
        <v>0.19047619047619047</v>
      </c>
      <c r="M30" s="4"/>
    </row>
    <row r="31" spans="1:13" ht="22.2" customHeight="1" x14ac:dyDescent="0.35">
      <c r="A31" s="27" t="s">
        <v>13</v>
      </c>
      <c r="B31" s="16">
        <f t="shared" ref="B31:B38" si="1">B18/$B$26</f>
        <v>0.16387046429964885</v>
      </c>
      <c r="C31" s="13">
        <f t="shared" ref="C31:C38" si="2">C18/$C$26</f>
        <v>0.19635343618513321</v>
      </c>
      <c r="D31" s="13">
        <f t="shared" ref="D31:D38" si="3">D18/$D$26</f>
        <v>0.23668639053254445</v>
      </c>
      <c r="E31" s="13">
        <f t="shared" ref="E31:E38" si="4">E18/$E$26</f>
        <v>0.23668639053254445</v>
      </c>
      <c r="F31" s="13">
        <f t="shared" ref="F31:F38" si="5">F18/$F$26</f>
        <v>0.2258469259723965</v>
      </c>
      <c r="G31" s="13">
        <f t="shared" ref="G31:G38" si="6">G18/$G$26</f>
        <v>0.20960698689956334</v>
      </c>
      <c r="H31" s="13">
        <f t="shared" ref="H31:H38" si="7">H18/$H$26</f>
        <v>0.19354838709677422</v>
      </c>
      <c r="I31" s="13">
        <f t="shared" ref="I31:I38" si="8">I18/$I$26</f>
        <v>0.17910447761194029</v>
      </c>
      <c r="J31" s="13">
        <f t="shared" ref="J31:J38" si="9">J18/$J$26</f>
        <v>0.16666666666666666</v>
      </c>
      <c r="M31" s="4"/>
    </row>
    <row r="32" spans="1:13" ht="22.2" customHeight="1" x14ac:dyDescent="0.35">
      <c r="A32" s="27" t="s">
        <v>14</v>
      </c>
      <c r="B32" s="16">
        <f t="shared" si="1"/>
        <v>0.10924697619976589</v>
      </c>
      <c r="C32" s="13">
        <f t="shared" si="2"/>
        <v>9.8176718092566603E-2</v>
      </c>
      <c r="D32" s="13">
        <f t="shared" si="3"/>
        <v>0.11834319526627222</v>
      </c>
      <c r="E32" s="13">
        <f t="shared" si="4"/>
        <v>0.11834319526627222</v>
      </c>
      <c r="F32" s="13">
        <f t="shared" si="5"/>
        <v>0.15056461731493098</v>
      </c>
      <c r="G32" s="13">
        <f t="shared" si="6"/>
        <v>0.15720524017467249</v>
      </c>
      <c r="H32" s="13">
        <f t="shared" si="7"/>
        <v>0.15483870967741936</v>
      </c>
      <c r="I32" s="13">
        <f t="shared" si="8"/>
        <v>0.14925373134328357</v>
      </c>
      <c r="J32" s="13">
        <f t="shared" si="9"/>
        <v>0.14285714285714285</v>
      </c>
      <c r="M32" s="4"/>
    </row>
    <row r="33" spans="1:13" ht="22.2" customHeight="1" x14ac:dyDescent="0.35">
      <c r="A33" s="27" t="s">
        <v>21</v>
      </c>
      <c r="B33" s="16">
        <f t="shared" si="1"/>
        <v>0.10924697619976589</v>
      </c>
      <c r="C33" s="13">
        <f t="shared" si="2"/>
        <v>9.8176718092566603E-2</v>
      </c>
      <c r="D33" s="13">
        <f t="shared" si="3"/>
        <v>0.11834319526627222</v>
      </c>
      <c r="E33" s="13">
        <f t="shared" si="4"/>
        <v>0.11834319526627222</v>
      </c>
      <c r="F33" s="13">
        <f t="shared" si="5"/>
        <v>0.15056461731493098</v>
      </c>
      <c r="G33" s="13">
        <f t="shared" si="6"/>
        <v>0.15720524017467249</v>
      </c>
      <c r="H33" s="13">
        <f t="shared" si="7"/>
        <v>0.15483870967741936</v>
      </c>
      <c r="I33" s="13">
        <f t="shared" si="8"/>
        <v>0.14925373134328357</v>
      </c>
      <c r="J33" s="13">
        <f t="shared" si="9"/>
        <v>0.14285714285714285</v>
      </c>
      <c r="M33" s="4"/>
    </row>
    <row r="34" spans="1:13" ht="22.2" customHeight="1" x14ac:dyDescent="0.35">
      <c r="A34" s="27" t="s">
        <v>22</v>
      </c>
      <c r="B34" s="16">
        <f t="shared" si="1"/>
        <v>8.1935232149824427E-2</v>
      </c>
      <c r="C34" s="13">
        <f t="shared" si="2"/>
        <v>6.5451145395044402E-2</v>
      </c>
      <c r="D34" s="13">
        <f t="shared" si="3"/>
        <v>5.9171597633136112E-2</v>
      </c>
      <c r="E34" s="13">
        <f t="shared" si="4"/>
        <v>5.9171597633136112E-2</v>
      </c>
      <c r="F34" s="13">
        <f t="shared" si="5"/>
        <v>7.5282308657465491E-2</v>
      </c>
      <c r="G34" s="13">
        <f t="shared" si="6"/>
        <v>0.10480349344978167</v>
      </c>
      <c r="H34" s="13">
        <f t="shared" si="7"/>
        <v>0.11612903225806452</v>
      </c>
      <c r="I34" s="13">
        <f t="shared" si="8"/>
        <v>0.11940298507462686</v>
      </c>
      <c r="J34" s="13">
        <f t="shared" si="9"/>
        <v>0.11904761904761904</v>
      </c>
      <c r="M34" s="4"/>
    </row>
    <row r="35" spans="1:13" ht="22.2" customHeight="1" x14ac:dyDescent="0.35">
      <c r="A35" s="27" t="s">
        <v>23</v>
      </c>
      <c r="B35" s="16">
        <f t="shared" si="1"/>
        <v>6.5548185719859542E-2</v>
      </c>
      <c r="C35" s="13">
        <f t="shared" si="2"/>
        <v>4.9088359046283302E-2</v>
      </c>
      <c r="D35" s="13">
        <f t="shared" si="3"/>
        <v>3.944773175542407E-2</v>
      </c>
      <c r="E35" s="13">
        <f t="shared" si="4"/>
        <v>3.944773175542407E-2</v>
      </c>
      <c r="F35" s="13">
        <f t="shared" si="5"/>
        <v>3.7641154328732745E-2</v>
      </c>
      <c r="G35" s="13">
        <f t="shared" si="6"/>
        <v>5.2401746724890834E-2</v>
      </c>
      <c r="H35" s="13">
        <f t="shared" si="7"/>
        <v>7.7419354838709681E-2</v>
      </c>
      <c r="I35" s="13">
        <f t="shared" si="8"/>
        <v>8.9552238805970144E-2</v>
      </c>
      <c r="J35" s="13">
        <f t="shared" si="9"/>
        <v>9.5238095238095233E-2</v>
      </c>
      <c r="M35" s="4"/>
    </row>
    <row r="36" spans="1:13" ht="22.2" customHeight="1" x14ac:dyDescent="0.35">
      <c r="A36" s="27" t="s">
        <v>24</v>
      </c>
      <c r="B36" s="16">
        <f t="shared" si="1"/>
        <v>5.4623488099882947E-2</v>
      </c>
      <c r="C36" s="13">
        <f t="shared" si="2"/>
        <v>3.9270687237026647E-2</v>
      </c>
      <c r="D36" s="13">
        <f t="shared" si="3"/>
        <v>2.9585798816568056E-2</v>
      </c>
      <c r="E36" s="13">
        <f t="shared" si="4"/>
        <v>2.9585798816568056E-2</v>
      </c>
      <c r="F36" s="13">
        <f t="shared" si="5"/>
        <v>2.5094102885821829E-2</v>
      </c>
      <c r="G36" s="13">
        <f t="shared" si="6"/>
        <v>2.6200873362445417E-2</v>
      </c>
      <c r="H36" s="13">
        <f t="shared" si="7"/>
        <v>3.870967741935484E-2</v>
      </c>
      <c r="I36" s="13">
        <f t="shared" si="8"/>
        <v>5.9701492537313432E-2</v>
      </c>
      <c r="J36" s="13">
        <f t="shared" si="9"/>
        <v>7.1428571428571425E-2</v>
      </c>
      <c r="M36" s="4"/>
    </row>
    <row r="37" spans="1:13" ht="22.2" customHeight="1" x14ac:dyDescent="0.35">
      <c r="A37" s="27" t="s">
        <v>19</v>
      </c>
      <c r="B37" s="16">
        <f t="shared" si="1"/>
        <v>4.6820132657042532E-2</v>
      </c>
      <c r="C37" s="13">
        <f t="shared" si="2"/>
        <v>3.2725572697522201E-2</v>
      </c>
      <c r="D37" s="13">
        <f t="shared" si="3"/>
        <v>2.3668639053254448E-2</v>
      </c>
      <c r="E37" s="13">
        <f t="shared" si="4"/>
        <v>2.3668639053254448E-2</v>
      </c>
      <c r="F37" s="13">
        <f t="shared" si="5"/>
        <v>1.8820577164366373E-2</v>
      </c>
      <c r="G37" s="13">
        <f t="shared" si="6"/>
        <v>1.7467248908296942E-2</v>
      </c>
      <c r="H37" s="13">
        <f t="shared" si="7"/>
        <v>1.935483870967742E-2</v>
      </c>
      <c r="I37" s="13">
        <f t="shared" si="8"/>
        <v>2.9850746268656716E-2</v>
      </c>
      <c r="J37" s="13">
        <f t="shared" si="9"/>
        <v>4.7619047619047616E-2</v>
      </c>
      <c r="M37" s="4"/>
    </row>
    <row r="38" spans="1:13" ht="22.2" customHeight="1" x14ac:dyDescent="0.35">
      <c r="A38" s="27" t="s">
        <v>25</v>
      </c>
      <c r="B38" s="16">
        <f t="shared" si="1"/>
        <v>4.0967616074912214E-2</v>
      </c>
      <c r="C38" s="13">
        <f t="shared" si="2"/>
        <v>2.8050490883590459E-2</v>
      </c>
      <c r="D38" s="13">
        <f t="shared" si="3"/>
        <v>1.9723865877712035E-2</v>
      </c>
      <c r="E38" s="13">
        <f t="shared" si="4"/>
        <v>1.9723865877712035E-2</v>
      </c>
      <c r="F38" s="13">
        <f t="shared" si="5"/>
        <v>1.5056461731493101E-2</v>
      </c>
      <c r="G38" s="13">
        <f t="shared" si="6"/>
        <v>1.3100436681222708E-2</v>
      </c>
      <c r="H38" s="13">
        <f t="shared" si="7"/>
        <v>1.2903225806451613E-2</v>
      </c>
      <c r="I38" s="13">
        <f t="shared" si="8"/>
        <v>1.4925373134328358E-2</v>
      </c>
      <c r="J38" s="13">
        <f t="shared" si="9"/>
        <v>2.3809523809523808E-2</v>
      </c>
      <c r="M38" s="4"/>
    </row>
    <row r="39" spans="1:13" ht="16.8" customHeight="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M39" s="4"/>
    </row>
    <row r="40" spans="1:13" ht="26.4" customHeight="1" x14ac:dyDescent="0.3">
      <c r="A40" s="58" t="s">
        <v>36</v>
      </c>
      <c r="B40" s="58"/>
      <c r="C40" s="58"/>
      <c r="D40" s="58"/>
      <c r="E40" s="58"/>
      <c r="F40" s="58"/>
      <c r="G40" s="58"/>
      <c r="H40" s="58"/>
      <c r="I40" s="58"/>
      <c r="J40" s="58"/>
    </row>
    <row r="41" spans="1:13" ht="26.4" customHeight="1" x14ac:dyDescent="0.3">
      <c r="A41" s="27" t="s">
        <v>0</v>
      </c>
      <c r="B41" s="27" t="s">
        <v>12</v>
      </c>
      <c r="C41" s="27" t="s">
        <v>13</v>
      </c>
      <c r="D41" s="27" t="s">
        <v>14</v>
      </c>
      <c r="E41" s="27" t="s">
        <v>15</v>
      </c>
      <c r="F41" s="27" t="s">
        <v>16</v>
      </c>
      <c r="G41" s="27" t="s">
        <v>17</v>
      </c>
      <c r="H41" s="27" t="s">
        <v>18</v>
      </c>
      <c r="I41" s="27" t="s">
        <v>19</v>
      </c>
      <c r="J41" s="27" t="s">
        <v>20</v>
      </c>
      <c r="K41" s="28" t="s">
        <v>2</v>
      </c>
    </row>
    <row r="42" spans="1:13" ht="26.4" customHeight="1" x14ac:dyDescent="0.35">
      <c r="A42" s="27" t="s">
        <v>12</v>
      </c>
      <c r="B42" s="31">
        <f t="shared" ref="B42:J42" si="10">B30</f>
        <v>0.32774092859929771</v>
      </c>
      <c r="C42" s="31">
        <f t="shared" si="10"/>
        <v>0.39270687237026641</v>
      </c>
      <c r="D42" s="31">
        <f t="shared" si="10"/>
        <v>0.35502958579881666</v>
      </c>
      <c r="E42" s="31">
        <f t="shared" si="10"/>
        <v>0.35502958579881666</v>
      </c>
      <c r="F42" s="31">
        <f t="shared" si="10"/>
        <v>0.30112923462986196</v>
      </c>
      <c r="G42" s="31">
        <f t="shared" si="10"/>
        <v>0.26200873362445415</v>
      </c>
      <c r="H42" s="31">
        <f t="shared" si="10"/>
        <v>0.23225806451612904</v>
      </c>
      <c r="I42" s="31">
        <f t="shared" si="10"/>
        <v>0.20895522388059701</v>
      </c>
      <c r="J42" s="31">
        <f t="shared" si="10"/>
        <v>0.19047619047619047</v>
      </c>
      <c r="K42" s="30">
        <f>AVERAGE(B42:J42)</f>
        <v>0.2917038244104922</v>
      </c>
    </row>
    <row r="43" spans="1:13" ht="26.4" customHeight="1" x14ac:dyDescent="0.35">
      <c r="A43" s="27" t="s">
        <v>13</v>
      </c>
      <c r="B43" s="31">
        <f>B31</f>
        <v>0.16387046429964885</v>
      </c>
      <c r="C43" s="31">
        <f t="shared" ref="C43:J50" si="11">C31</f>
        <v>0.19635343618513321</v>
      </c>
      <c r="D43" s="31">
        <f t="shared" si="11"/>
        <v>0.23668639053254445</v>
      </c>
      <c r="E43" s="31">
        <f t="shared" si="11"/>
        <v>0.23668639053254445</v>
      </c>
      <c r="F43" s="31">
        <f t="shared" si="11"/>
        <v>0.2258469259723965</v>
      </c>
      <c r="G43" s="31">
        <f t="shared" si="11"/>
        <v>0.20960698689956334</v>
      </c>
      <c r="H43" s="31">
        <f t="shared" si="11"/>
        <v>0.19354838709677422</v>
      </c>
      <c r="I43" s="31">
        <f t="shared" si="11"/>
        <v>0.17910447761194029</v>
      </c>
      <c r="J43" s="31">
        <f t="shared" si="11"/>
        <v>0.16666666666666666</v>
      </c>
      <c r="K43" s="30">
        <f t="shared" ref="K43:K50" si="12">AVERAGE(B43:J43)</f>
        <v>0.20093001397746801</v>
      </c>
    </row>
    <row r="44" spans="1:13" ht="26.4" customHeight="1" x14ac:dyDescent="0.35">
      <c r="A44" s="27" t="s">
        <v>14</v>
      </c>
      <c r="B44" s="31">
        <f t="shared" ref="B44:B50" si="13">B32</f>
        <v>0.10924697619976589</v>
      </c>
      <c r="C44" s="31">
        <f t="shared" si="11"/>
        <v>9.8176718092566603E-2</v>
      </c>
      <c r="D44" s="31">
        <f t="shared" si="11"/>
        <v>0.11834319526627222</v>
      </c>
      <c r="E44" s="31">
        <f t="shared" si="11"/>
        <v>0.11834319526627222</v>
      </c>
      <c r="F44" s="31">
        <f t="shared" si="11"/>
        <v>0.15056461731493098</v>
      </c>
      <c r="G44" s="31">
        <f t="shared" si="11"/>
        <v>0.15720524017467249</v>
      </c>
      <c r="H44" s="31">
        <f t="shared" si="11"/>
        <v>0.15483870967741936</v>
      </c>
      <c r="I44" s="31">
        <f t="shared" si="11"/>
        <v>0.14925373134328357</v>
      </c>
      <c r="J44" s="31">
        <f t="shared" si="11"/>
        <v>0.14285714285714285</v>
      </c>
      <c r="K44" s="30">
        <f t="shared" si="12"/>
        <v>0.13320328068803625</v>
      </c>
    </row>
    <row r="45" spans="1:13" ht="26.4" customHeight="1" x14ac:dyDescent="0.35">
      <c r="A45" s="27" t="s">
        <v>21</v>
      </c>
      <c r="B45" s="31">
        <f t="shared" si="13"/>
        <v>0.10924697619976589</v>
      </c>
      <c r="C45" s="31">
        <f t="shared" si="11"/>
        <v>9.8176718092566603E-2</v>
      </c>
      <c r="D45" s="31">
        <f t="shared" si="11"/>
        <v>0.11834319526627222</v>
      </c>
      <c r="E45" s="31">
        <f t="shared" si="11"/>
        <v>0.11834319526627222</v>
      </c>
      <c r="F45" s="31">
        <f t="shared" si="11"/>
        <v>0.15056461731493098</v>
      </c>
      <c r="G45" s="31">
        <f t="shared" si="11"/>
        <v>0.15720524017467249</v>
      </c>
      <c r="H45" s="31">
        <f t="shared" si="11"/>
        <v>0.15483870967741936</v>
      </c>
      <c r="I45" s="31">
        <f t="shared" si="11"/>
        <v>0.14925373134328357</v>
      </c>
      <c r="J45" s="31">
        <f t="shared" si="11"/>
        <v>0.14285714285714285</v>
      </c>
      <c r="K45" s="30">
        <f t="shared" si="12"/>
        <v>0.13320328068803625</v>
      </c>
    </row>
    <row r="46" spans="1:13" ht="26.4" customHeight="1" x14ac:dyDescent="0.35">
      <c r="A46" s="27" t="s">
        <v>22</v>
      </c>
      <c r="B46" s="31">
        <f t="shared" si="13"/>
        <v>8.1935232149824427E-2</v>
      </c>
      <c r="C46" s="31">
        <f t="shared" si="11"/>
        <v>6.5451145395044402E-2</v>
      </c>
      <c r="D46" s="31">
        <f t="shared" si="11"/>
        <v>5.9171597633136112E-2</v>
      </c>
      <c r="E46" s="31">
        <f t="shared" si="11"/>
        <v>5.9171597633136112E-2</v>
      </c>
      <c r="F46" s="31">
        <f t="shared" si="11"/>
        <v>7.5282308657465491E-2</v>
      </c>
      <c r="G46" s="31">
        <f t="shared" si="11"/>
        <v>0.10480349344978167</v>
      </c>
      <c r="H46" s="31">
        <f t="shared" si="11"/>
        <v>0.11612903225806452</v>
      </c>
      <c r="I46" s="31">
        <f t="shared" si="11"/>
        <v>0.11940298507462686</v>
      </c>
      <c r="J46" s="31">
        <f t="shared" si="11"/>
        <v>0.11904761904761904</v>
      </c>
      <c r="K46" s="30">
        <f t="shared" si="12"/>
        <v>8.8932779033188747E-2</v>
      </c>
    </row>
    <row r="47" spans="1:13" ht="26.4" customHeight="1" x14ac:dyDescent="0.35">
      <c r="A47" s="27" t="s">
        <v>23</v>
      </c>
      <c r="B47" s="31">
        <f t="shared" si="13"/>
        <v>6.5548185719859542E-2</v>
      </c>
      <c r="C47" s="31">
        <f t="shared" si="11"/>
        <v>4.9088359046283302E-2</v>
      </c>
      <c r="D47" s="31">
        <f t="shared" si="11"/>
        <v>3.944773175542407E-2</v>
      </c>
      <c r="E47" s="31">
        <f t="shared" si="11"/>
        <v>3.944773175542407E-2</v>
      </c>
      <c r="F47" s="31">
        <f t="shared" si="11"/>
        <v>3.7641154328732745E-2</v>
      </c>
      <c r="G47" s="31">
        <f t="shared" si="11"/>
        <v>5.2401746724890834E-2</v>
      </c>
      <c r="H47" s="31">
        <f t="shared" si="11"/>
        <v>7.7419354838709681E-2</v>
      </c>
      <c r="I47" s="31">
        <f t="shared" si="11"/>
        <v>8.9552238805970144E-2</v>
      </c>
      <c r="J47" s="31">
        <f t="shared" si="11"/>
        <v>9.5238095238095233E-2</v>
      </c>
      <c r="K47" s="30">
        <f t="shared" si="12"/>
        <v>6.0642733134821061E-2</v>
      </c>
    </row>
    <row r="48" spans="1:13" ht="26.4" customHeight="1" x14ac:dyDescent="0.35">
      <c r="A48" s="27" t="s">
        <v>24</v>
      </c>
      <c r="B48" s="31">
        <f t="shared" si="13"/>
        <v>5.4623488099882947E-2</v>
      </c>
      <c r="C48" s="31">
        <f t="shared" si="11"/>
        <v>3.9270687237026647E-2</v>
      </c>
      <c r="D48" s="31">
        <f t="shared" si="11"/>
        <v>2.9585798816568056E-2</v>
      </c>
      <c r="E48" s="31">
        <f t="shared" si="11"/>
        <v>2.9585798816568056E-2</v>
      </c>
      <c r="F48" s="31">
        <f t="shared" si="11"/>
        <v>2.5094102885821829E-2</v>
      </c>
      <c r="G48" s="31">
        <f t="shared" si="11"/>
        <v>2.6200873362445417E-2</v>
      </c>
      <c r="H48" s="31">
        <f t="shared" si="11"/>
        <v>3.870967741935484E-2</v>
      </c>
      <c r="I48" s="31">
        <f t="shared" si="11"/>
        <v>5.9701492537313432E-2</v>
      </c>
      <c r="J48" s="31">
        <f t="shared" si="11"/>
        <v>7.1428571428571425E-2</v>
      </c>
      <c r="K48" s="30">
        <f t="shared" si="12"/>
        <v>4.1577832289283627E-2</v>
      </c>
    </row>
    <row r="49" spans="1:11" ht="26.4" customHeight="1" x14ac:dyDescent="0.35">
      <c r="A49" s="27" t="s">
        <v>19</v>
      </c>
      <c r="B49" s="31">
        <f t="shared" si="13"/>
        <v>4.6820132657042532E-2</v>
      </c>
      <c r="C49" s="31">
        <f t="shared" si="11"/>
        <v>3.2725572697522201E-2</v>
      </c>
      <c r="D49" s="31">
        <f t="shared" si="11"/>
        <v>2.3668639053254448E-2</v>
      </c>
      <c r="E49" s="31">
        <f t="shared" si="11"/>
        <v>2.3668639053254448E-2</v>
      </c>
      <c r="F49" s="31">
        <f t="shared" si="11"/>
        <v>1.8820577164366373E-2</v>
      </c>
      <c r="G49" s="31">
        <f t="shared" si="11"/>
        <v>1.7467248908296942E-2</v>
      </c>
      <c r="H49" s="31">
        <f t="shared" si="11"/>
        <v>1.935483870967742E-2</v>
      </c>
      <c r="I49" s="31">
        <f t="shared" si="11"/>
        <v>2.9850746268656716E-2</v>
      </c>
      <c r="J49" s="31">
        <f t="shared" si="11"/>
        <v>4.7619047619047616E-2</v>
      </c>
      <c r="K49" s="30">
        <f t="shared" si="12"/>
        <v>2.8888382459013189E-2</v>
      </c>
    </row>
    <row r="50" spans="1:11" ht="26.4" customHeight="1" thickBot="1" x14ac:dyDescent="0.4">
      <c r="A50" s="29" t="s">
        <v>25</v>
      </c>
      <c r="B50" s="31">
        <f t="shared" si="13"/>
        <v>4.0967616074912214E-2</v>
      </c>
      <c r="C50" s="31">
        <f t="shared" si="11"/>
        <v>2.8050490883590459E-2</v>
      </c>
      <c r="D50" s="31">
        <f t="shared" si="11"/>
        <v>1.9723865877712035E-2</v>
      </c>
      <c r="E50" s="31">
        <f t="shared" si="11"/>
        <v>1.9723865877712035E-2</v>
      </c>
      <c r="F50" s="31">
        <f t="shared" si="11"/>
        <v>1.5056461731493101E-2</v>
      </c>
      <c r="G50" s="31">
        <f t="shared" si="11"/>
        <v>1.3100436681222708E-2</v>
      </c>
      <c r="H50" s="31">
        <f t="shared" si="11"/>
        <v>1.2903225806451613E-2</v>
      </c>
      <c r="I50" s="31">
        <f t="shared" si="11"/>
        <v>1.4925373134328358E-2</v>
      </c>
      <c r="J50" s="31">
        <f t="shared" si="11"/>
        <v>2.3809523809523808E-2</v>
      </c>
      <c r="K50" s="30">
        <f t="shared" si="12"/>
        <v>2.0917873319660704E-2</v>
      </c>
    </row>
    <row r="51" spans="1:11" ht="99" customHeight="1" thickTop="1" thickBot="1" x14ac:dyDescent="0.35">
      <c r="A51" s="51" t="s">
        <v>37</v>
      </c>
      <c r="B51" s="52"/>
      <c r="C51" s="52"/>
      <c r="D51" s="52"/>
      <c r="E51" s="52"/>
      <c r="F51" s="52"/>
      <c r="G51" s="52"/>
      <c r="H51" s="52"/>
      <c r="I51" s="52"/>
      <c r="J51" s="52"/>
      <c r="K51" s="53"/>
    </row>
    <row r="52" spans="1:11" ht="25.8" customHeight="1" thickTop="1" x14ac:dyDescent="0.3">
      <c r="A52" s="54" t="s">
        <v>38</v>
      </c>
      <c r="B52" s="54"/>
      <c r="C52" s="54"/>
      <c r="D52" s="54"/>
      <c r="E52" s="54"/>
      <c r="F52" s="54"/>
      <c r="G52" s="54"/>
      <c r="H52" s="54"/>
      <c r="I52" s="54"/>
      <c r="J52" s="54"/>
    </row>
    <row r="53" spans="1:11" s="7" customFormat="1" ht="27" customHeight="1" x14ac:dyDescent="0.3">
      <c r="A53" s="27" t="s">
        <v>0</v>
      </c>
      <c r="B53" s="27" t="s">
        <v>12</v>
      </c>
      <c r="C53" s="27" t="s">
        <v>13</v>
      </c>
      <c r="D53" s="27" t="s">
        <v>14</v>
      </c>
      <c r="E53" s="27" t="s">
        <v>15</v>
      </c>
      <c r="F53" s="27" t="s">
        <v>16</v>
      </c>
      <c r="G53" s="27" t="s">
        <v>17</v>
      </c>
      <c r="H53" s="27" t="s">
        <v>18</v>
      </c>
      <c r="I53" s="27" t="s">
        <v>19</v>
      </c>
      <c r="J53" s="27" t="s">
        <v>20</v>
      </c>
    </row>
    <row r="54" spans="1:11" ht="18" x14ac:dyDescent="0.35">
      <c r="A54" s="27" t="s">
        <v>12</v>
      </c>
      <c r="B54" s="16">
        <v>1</v>
      </c>
      <c r="C54" s="13">
        <v>2</v>
      </c>
      <c r="D54" s="13">
        <v>3</v>
      </c>
      <c r="E54" s="13">
        <v>3</v>
      </c>
      <c r="F54" s="13">
        <v>4</v>
      </c>
      <c r="G54" s="13">
        <v>5</v>
      </c>
      <c r="H54" s="13">
        <v>6</v>
      </c>
      <c r="I54" s="13">
        <v>7</v>
      </c>
      <c r="J54" s="13">
        <v>8</v>
      </c>
    </row>
    <row r="55" spans="1:11" ht="18" x14ac:dyDescent="0.35">
      <c r="A55" s="27" t="s">
        <v>13</v>
      </c>
      <c r="B55" s="23">
        <f>$B$17/C54</f>
        <v>0.5</v>
      </c>
      <c r="C55" s="16">
        <v>1</v>
      </c>
      <c r="D55" s="13">
        <v>2</v>
      </c>
      <c r="E55" s="13">
        <v>2</v>
      </c>
      <c r="F55" s="13">
        <v>3</v>
      </c>
      <c r="G55" s="13">
        <v>4</v>
      </c>
      <c r="H55" s="13">
        <v>5</v>
      </c>
      <c r="I55" s="13">
        <v>6</v>
      </c>
      <c r="J55" s="13">
        <v>7</v>
      </c>
    </row>
    <row r="56" spans="1:11" ht="18" x14ac:dyDescent="0.35">
      <c r="A56" s="27" t="s">
        <v>14</v>
      </c>
      <c r="B56" s="23">
        <f>$B$17/D54</f>
        <v>0.33333333333333331</v>
      </c>
      <c r="C56" s="23">
        <f>$C$18/D55</f>
        <v>0.5</v>
      </c>
      <c r="D56" s="16">
        <v>1</v>
      </c>
      <c r="E56" s="13">
        <v>1</v>
      </c>
      <c r="F56" s="13">
        <v>2</v>
      </c>
      <c r="G56" s="13">
        <v>3</v>
      </c>
      <c r="H56" s="13">
        <v>4</v>
      </c>
      <c r="I56" s="13">
        <v>5</v>
      </c>
      <c r="J56" s="13">
        <v>6</v>
      </c>
    </row>
    <row r="57" spans="1:11" ht="18" x14ac:dyDescent="0.35">
      <c r="A57" s="27" t="s">
        <v>21</v>
      </c>
      <c r="B57" s="23">
        <f>$B$17/E54</f>
        <v>0.33333333333333331</v>
      </c>
      <c r="C57" s="23">
        <f>$C$18/E55</f>
        <v>0.5</v>
      </c>
      <c r="D57" s="13">
        <f>$D$19/E56</f>
        <v>1</v>
      </c>
      <c r="E57" s="16">
        <v>1</v>
      </c>
      <c r="F57" s="13">
        <v>2</v>
      </c>
      <c r="G57" s="13">
        <v>3</v>
      </c>
      <c r="H57" s="13">
        <v>4</v>
      </c>
      <c r="I57" s="13">
        <v>5</v>
      </c>
      <c r="J57" s="13">
        <v>6</v>
      </c>
    </row>
    <row r="58" spans="1:11" ht="18" x14ac:dyDescent="0.35">
      <c r="A58" s="27" t="s">
        <v>22</v>
      </c>
      <c r="B58" s="23">
        <f>$B$17/F54</f>
        <v>0.25</v>
      </c>
      <c r="C58" s="23">
        <f>$C$18/F55</f>
        <v>0.33333333333333331</v>
      </c>
      <c r="D58" s="13">
        <f>$D$19/F56</f>
        <v>0.5</v>
      </c>
      <c r="E58" s="13">
        <f>$E$20/F57</f>
        <v>0.5</v>
      </c>
      <c r="F58" s="16">
        <v>1</v>
      </c>
      <c r="G58" s="13">
        <v>2</v>
      </c>
      <c r="H58" s="13">
        <v>3</v>
      </c>
      <c r="I58" s="13">
        <v>4</v>
      </c>
      <c r="J58" s="13">
        <v>5</v>
      </c>
    </row>
    <row r="59" spans="1:11" ht="18" x14ac:dyDescent="0.35">
      <c r="A59" s="27" t="s">
        <v>23</v>
      </c>
      <c r="B59" s="23">
        <f>$B$17/G54</f>
        <v>0.2</v>
      </c>
      <c r="C59" s="23">
        <f>$C$18/G55</f>
        <v>0.25</v>
      </c>
      <c r="D59" s="13">
        <f>$D$19/G56</f>
        <v>0.33333333333333331</v>
      </c>
      <c r="E59" s="13">
        <f>$E$20/G57</f>
        <v>0.33333333333333331</v>
      </c>
      <c r="F59" s="23">
        <f>$F$21/G58</f>
        <v>0.5</v>
      </c>
      <c r="G59" s="16">
        <v>1</v>
      </c>
      <c r="H59" s="13">
        <v>2</v>
      </c>
      <c r="I59" s="13">
        <v>3</v>
      </c>
      <c r="J59" s="13">
        <v>4</v>
      </c>
    </row>
    <row r="60" spans="1:11" ht="18" x14ac:dyDescent="0.35">
      <c r="A60" s="27" t="s">
        <v>24</v>
      </c>
      <c r="B60" s="23">
        <f>$B$17/H54</f>
        <v>0.16666666666666666</v>
      </c>
      <c r="C60" s="23">
        <f>$C$18/H55</f>
        <v>0.2</v>
      </c>
      <c r="D60" s="13">
        <f>$D$19/H56</f>
        <v>0.25</v>
      </c>
      <c r="E60" s="13">
        <f>$E$20/H57</f>
        <v>0.25</v>
      </c>
      <c r="F60" s="23">
        <f>$F$21/H58</f>
        <v>0.33333333333333331</v>
      </c>
      <c r="G60" s="23">
        <f>$G$22/H59</f>
        <v>0.5</v>
      </c>
      <c r="H60" s="16">
        <v>1</v>
      </c>
      <c r="I60" s="13">
        <v>2</v>
      </c>
      <c r="J60" s="13">
        <v>3</v>
      </c>
    </row>
    <row r="61" spans="1:11" ht="18" x14ac:dyDescent="0.35">
      <c r="A61" s="27" t="s">
        <v>19</v>
      </c>
      <c r="B61" s="23">
        <f>$B$17/I54</f>
        <v>0.14285714285714285</v>
      </c>
      <c r="C61" s="23">
        <f>$C$18/I55</f>
        <v>0.16666666666666666</v>
      </c>
      <c r="D61" s="13">
        <f>$D$19/I56</f>
        <v>0.2</v>
      </c>
      <c r="E61" s="13">
        <f>$E$20/I57</f>
        <v>0.2</v>
      </c>
      <c r="F61" s="23">
        <f>$F$21/I58</f>
        <v>0.25</v>
      </c>
      <c r="G61" s="23">
        <f>$G$22/I59</f>
        <v>0.33333333333333331</v>
      </c>
      <c r="H61" s="23">
        <f>$H$23/I60</f>
        <v>0.5</v>
      </c>
      <c r="I61" s="16">
        <v>1</v>
      </c>
      <c r="J61" s="13">
        <v>2</v>
      </c>
    </row>
    <row r="62" spans="1:11" ht="18" x14ac:dyDescent="0.35">
      <c r="A62" s="27" t="s">
        <v>25</v>
      </c>
      <c r="B62" s="23">
        <f>$B$17/J54</f>
        <v>0.125</v>
      </c>
      <c r="C62" s="23">
        <f>$C$18/J55</f>
        <v>0.14285714285714285</v>
      </c>
      <c r="D62" s="13">
        <f>$D$19/J56</f>
        <v>0.16666666666666666</v>
      </c>
      <c r="E62" s="13">
        <f>$E$20/J57</f>
        <v>0.16666666666666666</v>
      </c>
      <c r="F62" s="23">
        <f>$F$21/J58</f>
        <v>0.2</v>
      </c>
      <c r="G62" s="23">
        <f>$G$22/J59</f>
        <v>0.25</v>
      </c>
      <c r="H62" s="23">
        <f>$H$23/J60</f>
        <v>0.33333333333333331</v>
      </c>
      <c r="I62" s="23">
        <f>$I$24/J61</f>
        <v>0.5</v>
      </c>
      <c r="J62" s="16">
        <v>1</v>
      </c>
    </row>
    <row r="63" spans="1:11" ht="27" customHeight="1" x14ac:dyDescent="0.3">
      <c r="B63" s="9"/>
    </row>
    <row r="64" spans="1:11" s="7" customFormat="1" ht="26.4" customHeight="1" x14ac:dyDescent="0.3">
      <c r="A64" s="27" t="s">
        <v>0</v>
      </c>
      <c r="B64" s="27" t="s">
        <v>12</v>
      </c>
      <c r="C64" s="27" t="s">
        <v>13</v>
      </c>
      <c r="D64" s="27" t="s">
        <v>14</v>
      </c>
      <c r="E64" s="27" t="s">
        <v>15</v>
      </c>
      <c r="F64" s="27" t="s">
        <v>16</v>
      </c>
      <c r="G64" s="27" t="s">
        <v>17</v>
      </c>
      <c r="H64" s="27" t="s">
        <v>18</v>
      </c>
      <c r="I64" s="27" t="s">
        <v>19</v>
      </c>
      <c r="J64" s="27" t="s">
        <v>20</v>
      </c>
    </row>
    <row r="65" spans="1:13" ht="18" x14ac:dyDescent="0.35">
      <c r="A65" s="27" t="s">
        <v>12</v>
      </c>
      <c r="B65" s="31">
        <f>B54*$K$42</f>
        <v>0.2917038244104922</v>
      </c>
      <c r="C65" s="13">
        <f>C54*$K$43</f>
        <v>0.40186002795493603</v>
      </c>
      <c r="D65" s="13">
        <f>D54*$K$44</f>
        <v>0.39960984206410877</v>
      </c>
      <c r="E65" s="13">
        <f>E54*$K$45</f>
        <v>0.39960984206410877</v>
      </c>
      <c r="F65" s="13">
        <f>F54*$K$46</f>
        <v>0.35573111613275499</v>
      </c>
      <c r="G65" s="13">
        <f>G54*$K$47</f>
        <v>0.30321366567410529</v>
      </c>
      <c r="H65" s="13">
        <f>H54*$K$48</f>
        <v>0.24946699373570175</v>
      </c>
      <c r="I65" s="13">
        <f>I54*$K$49</f>
        <v>0.20221867721309233</v>
      </c>
      <c r="J65" s="13">
        <f>J54*$K$50</f>
        <v>0.16734298655728563</v>
      </c>
    </row>
    <row r="66" spans="1:13" ht="18" x14ac:dyDescent="0.35">
      <c r="A66" s="27" t="s">
        <v>13</v>
      </c>
      <c r="B66" s="31">
        <f t="shared" ref="B66:B73" si="14">B55*$K$42</f>
        <v>0.1458519122052461</v>
      </c>
      <c r="C66" s="13">
        <f t="shared" ref="C66:C73" si="15">C55*$K$43</f>
        <v>0.20093001397746801</v>
      </c>
      <c r="D66" s="13">
        <f t="shared" ref="D66:D73" si="16">D55*$K$44</f>
        <v>0.26640656137607249</v>
      </c>
      <c r="E66" s="13">
        <f t="shared" ref="E66:E73" si="17">E55*$K$45</f>
        <v>0.26640656137607249</v>
      </c>
      <c r="F66" s="13">
        <f t="shared" ref="F66:F73" si="18">F55*$K$46</f>
        <v>0.26679833709956624</v>
      </c>
      <c r="G66" s="13">
        <f t="shared" ref="G66:G73" si="19">G55*$K$47</f>
        <v>0.24257093253928425</v>
      </c>
      <c r="H66" s="13">
        <f t="shared" ref="H66:H73" si="20">H55*$K$48</f>
        <v>0.20788916144641814</v>
      </c>
      <c r="I66" s="13">
        <f t="shared" ref="I66:I73" si="21">I55*$K$49</f>
        <v>0.17333029475407913</v>
      </c>
      <c r="J66" s="13">
        <f t="shared" ref="J66:J73" si="22">J55*$K$50</f>
        <v>0.14642511323762492</v>
      </c>
    </row>
    <row r="67" spans="1:13" ht="18" x14ac:dyDescent="0.35">
      <c r="A67" s="27" t="s">
        <v>14</v>
      </c>
      <c r="B67" s="31">
        <f t="shared" si="14"/>
        <v>9.7234608136830727E-2</v>
      </c>
      <c r="C67" s="13">
        <f t="shared" si="15"/>
        <v>0.10046500698873401</v>
      </c>
      <c r="D67" s="13">
        <f t="shared" si="16"/>
        <v>0.13320328068803625</v>
      </c>
      <c r="E67" s="13">
        <f t="shared" si="17"/>
        <v>0.13320328068803625</v>
      </c>
      <c r="F67" s="13">
        <f t="shared" si="18"/>
        <v>0.17786555806637749</v>
      </c>
      <c r="G67" s="13">
        <f t="shared" si="19"/>
        <v>0.1819281994044632</v>
      </c>
      <c r="H67" s="13">
        <f t="shared" si="20"/>
        <v>0.16631132915713451</v>
      </c>
      <c r="I67" s="13">
        <f t="shared" si="21"/>
        <v>0.14444191229506595</v>
      </c>
      <c r="J67" s="13">
        <f t="shared" si="22"/>
        <v>0.12550723991796423</v>
      </c>
    </row>
    <row r="68" spans="1:13" ht="18" x14ac:dyDescent="0.35">
      <c r="A68" s="27" t="s">
        <v>21</v>
      </c>
      <c r="B68" s="31">
        <f t="shared" si="14"/>
        <v>9.7234608136830727E-2</v>
      </c>
      <c r="C68" s="13">
        <f t="shared" si="15"/>
        <v>0.10046500698873401</v>
      </c>
      <c r="D68" s="13">
        <f t="shared" si="16"/>
        <v>0.13320328068803625</v>
      </c>
      <c r="E68" s="13">
        <f t="shared" si="17"/>
        <v>0.13320328068803625</v>
      </c>
      <c r="F68" s="13">
        <f t="shared" si="18"/>
        <v>0.17786555806637749</v>
      </c>
      <c r="G68" s="13">
        <f t="shared" si="19"/>
        <v>0.1819281994044632</v>
      </c>
      <c r="H68" s="13">
        <f t="shared" si="20"/>
        <v>0.16631132915713451</v>
      </c>
      <c r="I68" s="13">
        <f t="shared" si="21"/>
        <v>0.14444191229506595</v>
      </c>
      <c r="J68" s="13">
        <f t="shared" si="22"/>
        <v>0.12550723991796423</v>
      </c>
    </row>
    <row r="69" spans="1:13" ht="18" x14ac:dyDescent="0.35">
      <c r="A69" s="27" t="s">
        <v>22</v>
      </c>
      <c r="B69" s="31">
        <f t="shared" si="14"/>
        <v>7.2925956102623049E-2</v>
      </c>
      <c r="C69" s="13">
        <f t="shared" si="15"/>
        <v>6.6976671325822662E-2</v>
      </c>
      <c r="D69" s="13">
        <f t="shared" si="16"/>
        <v>6.6601640344018123E-2</v>
      </c>
      <c r="E69" s="13">
        <f t="shared" si="17"/>
        <v>6.6601640344018123E-2</v>
      </c>
      <c r="F69" s="13">
        <f t="shared" si="18"/>
        <v>8.8932779033188747E-2</v>
      </c>
      <c r="G69" s="13">
        <f t="shared" si="19"/>
        <v>0.12128546626964212</v>
      </c>
      <c r="H69" s="13">
        <f t="shared" si="20"/>
        <v>0.12473349686785087</v>
      </c>
      <c r="I69" s="13">
        <f t="shared" si="21"/>
        <v>0.11555352983605276</v>
      </c>
      <c r="J69" s="13">
        <f t="shared" si="22"/>
        <v>0.10458936659830352</v>
      </c>
    </row>
    <row r="70" spans="1:13" ht="18" x14ac:dyDescent="0.35">
      <c r="A70" s="27" t="s">
        <v>23</v>
      </c>
      <c r="B70" s="31">
        <f t="shared" si="14"/>
        <v>5.8340764882098439E-2</v>
      </c>
      <c r="C70" s="13">
        <f t="shared" si="15"/>
        <v>5.0232503494367003E-2</v>
      </c>
      <c r="D70" s="13">
        <f t="shared" si="16"/>
        <v>4.4401093562678746E-2</v>
      </c>
      <c r="E70" s="13">
        <f t="shared" si="17"/>
        <v>4.4401093562678746E-2</v>
      </c>
      <c r="F70" s="13">
        <f t="shared" si="18"/>
        <v>4.4466389516594373E-2</v>
      </c>
      <c r="G70" s="13">
        <f t="shared" si="19"/>
        <v>6.0642733134821061E-2</v>
      </c>
      <c r="H70" s="13">
        <f t="shared" si="20"/>
        <v>8.3155664578567254E-2</v>
      </c>
      <c r="I70" s="13">
        <f t="shared" si="21"/>
        <v>8.6665147377039564E-2</v>
      </c>
      <c r="J70" s="13">
        <f t="shared" si="22"/>
        <v>8.3671493278642817E-2</v>
      </c>
    </row>
    <row r="71" spans="1:13" ht="18" x14ac:dyDescent="0.35">
      <c r="A71" s="27" t="s">
        <v>24</v>
      </c>
      <c r="B71" s="31">
        <f t="shared" si="14"/>
        <v>4.8617304068415364E-2</v>
      </c>
      <c r="C71" s="13">
        <f t="shared" si="15"/>
        <v>4.0186002795493607E-2</v>
      </c>
      <c r="D71" s="13">
        <f t="shared" si="16"/>
        <v>3.3300820172009062E-2</v>
      </c>
      <c r="E71" s="13">
        <f t="shared" si="17"/>
        <v>3.3300820172009062E-2</v>
      </c>
      <c r="F71" s="13">
        <f t="shared" si="18"/>
        <v>2.964425967772958E-2</v>
      </c>
      <c r="G71" s="13">
        <f t="shared" si="19"/>
        <v>3.0321366567410531E-2</v>
      </c>
      <c r="H71" s="13">
        <f t="shared" si="20"/>
        <v>4.1577832289283627E-2</v>
      </c>
      <c r="I71" s="13">
        <f t="shared" si="21"/>
        <v>5.7776764918026378E-2</v>
      </c>
      <c r="J71" s="13">
        <f t="shared" si="22"/>
        <v>6.2753619958982113E-2</v>
      </c>
    </row>
    <row r="72" spans="1:13" ht="18" x14ac:dyDescent="0.35">
      <c r="A72" s="27" t="s">
        <v>19</v>
      </c>
      <c r="B72" s="31">
        <f t="shared" si="14"/>
        <v>4.1671974915784595E-2</v>
      </c>
      <c r="C72" s="13">
        <f t="shared" si="15"/>
        <v>3.3488335662911331E-2</v>
      </c>
      <c r="D72" s="13">
        <f t="shared" si="16"/>
        <v>2.6640656137607251E-2</v>
      </c>
      <c r="E72" s="13">
        <f t="shared" si="17"/>
        <v>2.6640656137607251E-2</v>
      </c>
      <c r="F72" s="13">
        <f t="shared" si="18"/>
        <v>2.2233194758297187E-2</v>
      </c>
      <c r="G72" s="13">
        <f t="shared" si="19"/>
        <v>2.0214244378273686E-2</v>
      </c>
      <c r="H72" s="13">
        <f t="shared" si="20"/>
        <v>2.0788916144641813E-2</v>
      </c>
      <c r="I72" s="13">
        <f t="shared" si="21"/>
        <v>2.8888382459013189E-2</v>
      </c>
      <c r="J72" s="13">
        <f t="shared" si="22"/>
        <v>4.1835746639321408E-2</v>
      </c>
    </row>
    <row r="73" spans="1:13" ht="18" x14ac:dyDescent="0.35">
      <c r="A73" s="27" t="s">
        <v>25</v>
      </c>
      <c r="B73" s="31">
        <f t="shared" si="14"/>
        <v>3.6462978051311525E-2</v>
      </c>
      <c r="C73" s="13">
        <f t="shared" si="15"/>
        <v>2.8704287711066857E-2</v>
      </c>
      <c r="D73" s="13">
        <f t="shared" si="16"/>
        <v>2.2200546781339373E-2</v>
      </c>
      <c r="E73" s="13">
        <f t="shared" si="17"/>
        <v>2.2200546781339373E-2</v>
      </c>
      <c r="F73" s="13">
        <f t="shared" si="18"/>
        <v>1.7786555806637749E-2</v>
      </c>
      <c r="G73" s="13">
        <f t="shared" si="19"/>
        <v>1.5160683283705265E-2</v>
      </c>
      <c r="H73" s="13">
        <f t="shared" si="20"/>
        <v>1.3859277429761209E-2</v>
      </c>
      <c r="I73" s="13">
        <f t="shared" si="21"/>
        <v>1.4444191229506595E-2</v>
      </c>
      <c r="J73" s="13">
        <f t="shared" si="22"/>
        <v>2.0917873319660704E-2</v>
      </c>
    </row>
    <row r="74" spans="1:13" x14ac:dyDescent="0.3">
      <c r="B74" s="9"/>
    </row>
    <row r="75" spans="1:13" ht="31.2" customHeight="1" x14ac:dyDescent="0.3">
      <c r="A75" s="55" t="s">
        <v>39</v>
      </c>
      <c r="B75" s="54"/>
      <c r="C75" s="54"/>
      <c r="D75" s="54"/>
      <c r="E75" s="54"/>
      <c r="F75" s="54"/>
      <c r="G75" s="54"/>
      <c r="H75" s="54"/>
      <c r="I75" s="54"/>
      <c r="J75" s="54"/>
    </row>
    <row r="76" spans="1:13" ht="31.2" customHeight="1" x14ac:dyDescent="0.3">
      <c r="A76" s="27" t="s">
        <v>0</v>
      </c>
      <c r="B76" s="27" t="s">
        <v>12</v>
      </c>
      <c r="C76" s="27" t="s">
        <v>13</v>
      </c>
      <c r="D76" s="27" t="s">
        <v>14</v>
      </c>
      <c r="E76" s="27" t="s">
        <v>15</v>
      </c>
      <c r="F76" s="27" t="s">
        <v>16</v>
      </c>
      <c r="G76" s="27" t="s">
        <v>17</v>
      </c>
      <c r="H76" s="27" t="s">
        <v>18</v>
      </c>
      <c r="I76" s="27" t="s">
        <v>19</v>
      </c>
      <c r="J76" s="27" t="s">
        <v>20</v>
      </c>
      <c r="K76" s="5" t="s">
        <v>3</v>
      </c>
      <c r="L76" s="1" t="s">
        <v>4</v>
      </c>
      <c r="M76" s="2" t="s">
        <v>5</v>
      </c>
    </row>
    <row r="77" spans="1:13" ht="31.2" customHeight="1" x14ac:dyDescent="0.35">
      <c r="A77" s="27" t="s">
        <v>12</v>
      </c>
      <c r="B77" s="31">
        <f t="shared" ref="B77:H77" si="23">B65</f>
        <v>0.2917038244104922</v>
      </c>
      <c r="C77" s="13">
        <f t="shared" si="23"/>
        <v>0.40186002795493603</v>
      </c>
      <c r="D77" s="13">
        <f t="shared" si="23"/>
        <v>0.39960984206410877</v>
      </c>
      <c r="E77" s="13">
        <f t="shared" si="23"/>
        <v>0.39960984206410877</v>
      </c>
      <c r="F77" s="13">
        <f t="shared" si="23"/>
        <v>0.35573111613275499</v>
      </c>
      <c r="G77" s="13">
        <f t="shared" si="23"/>
        <v>0.30321366567410529</v>
      </c>
      <c r="H77" s="13">
        <f t="shared" si="23"/>
        <v>0.24946699373570175</v>
      </c>
      <c r="I77" s="13">
        <v>2.390438198803789</v>
      </c>
      <c r="J77" s="13">
        <v>1.3408276626651976</v>
      </c>
      <c r="K77" s="21">
        <f>SUM(B77:J77)</f>
        <v>6.1324611735051944</v>
      </c>
      <c r="L77" s="33">
        <f>K42</f>
        <v>0.2917038244104922</v>
      </c>
      <c r="M77" s="34">
        <f>K77/L77</f>
        <v>21.022902890966066</v>
      </c>
    </row>
    <row r="78" spans="1:13" ht="31.2" customHeight="1" x14ac:dyDescent="0.35">
      <c r="A78" s="27" t="s">
        <v>13</v>
      </c>
      <c r="B78" s="31">
        <f t="shared" ref="B78:G85" si="24">B66</f>
        <v>0.1458519122052461</v>
      </c>
      <c r="C78" s="13">
        <f t="shared" si="24"/>
        <v>0.20093001397746801</v>
      </c>
      <c r="D78" s="13">
        <f t="shared" si="24"/>
        <v>0.26640656137607249</v>
      </c>
      <c r="E78" s="13">
        <f t="shared" si="24"/>
        <v>0.26640656137607249</v>
      </c>
      <c r="F78" s="13">
        <f t="shared" si="24"/>
        <v>0.26679833709956624</v>
      </c>
      <c r="G78" s="13">
        <f t="shared" si="24"/>
        <v>0.24257093253928425</v>
      </c>
      <c r="H78" s="13">
        <v>3.385459079972029</v>
      </c>
      <c r="I78" s="13">
        <v>2.048947027546105</v>
      </c>
      <c r="J78" s="13">
        <v>1.1732242048320478</v>
      </c>
      <c r="K78" s="21">
        <f t="shared" ref="K78:K85" si="25">SUM(B78:J78)</f>
        <v>7.9965946309238909</v>
      </c>
      <c r="L78" s="33">
        <f t="shared" ref="L78:L85" si="26">K43</f>
        <v>0.20093001397746801</v>
      </c>
      <c r="M78" s="34">
        <f t="shared" ref="M78:M85" si="27">K78/L78</f>
        <v>39.797910091324717</v>
      </c>
    </row>
    <row r="79" spans="1:13" ht="31.2" customHeight="1" x14ac:dyDescent="0.35">
      <c r="A79" s="27" t="s">
        <v>14</v>
      </c>
      <c r="B79" s="31">
        <f t="shared" si="24"/>
        <v>9.7234608136830727E-2</v>
      </c>
      <c r="C79" s="13">
        <f t="shared" si="24"/>
        <v>0.10046500698873401</v>
      </c>
      <c r="D79" s="13">
        <f t="shared" si="24"/>
        <v>0.13320328068803625</v>
      </c>
      <c r="E79" s="13">
        <f t="shared" si="24"/>
        <v>0.13320328068803625</v>
      </c>
      <c r="F79" s="13">
        <f t="shared" si="24"/>
        <v>0.17786555806637749</v>
      </c>
      <c r="G79" s="13">
        <f t="shared" si="24"/>
        <v>0.1819281994044632</v>
      </c>
      <c r="H79" s="13">
        <v>2.7083672639776233</v>
      </c>
      <c r="I79" s="13">
        <v>1.7074558562884206</v>
      </c>
      <c r="J79" s="13">
        <v>1.0056207469988983</v>
      </c>
      <c r="K79" s="21">
        <f t="shared" si="25"/>
        <v>6.2453438012374196</v>
      </c>
      <c r="L79" s="33">
        <f t="shared" si="26"/>
        <v>0.13320328068803625</v>
      </c>
      <c r="M79" s="34">
        <f t="shared" si="27"/>
        <v>46.885810687081296</v>
      </c>
    </row>
    <row r="80" spans="1:13" ht="31.2" customHeight="1" x14ac:dyDescent="0.35">
      <c r="A80" s="27" t="s">
        <v>21</v>
      </c>
      <c r="B80" s="31">
        <f t="shared" si="24"/>
        <v>9.7234608136830727E-2</v>
      </c>
      <c r="C80" s="13">
        <f t="shared" si="24"/>
        <v>0.10046500698873401</v>
      </c>
      <c r="D80" s="13">
        <f t="shared" si="24"/>
        <v>0.13320328068803625</v>
      </c>
      <c r="E80" s="13">
        <f t="shared" si="24"/>
        <v>0.13320328068803625</v>
      </c>
      <c r="F80" s="13">
        <f t="shared" si="24"/>
        <v>0.17786555806637749</v>
      </c>
      <c r="G80" s="13">
        <f t="shared" si="24"/>
        <v>0.1819281994044632</v>
      </c>
      <c r="H80" s="13">
        <v>2.7083672639776233</v>
      </c>
      <c r="I80" s="13">
        <v>1.7074558562884206</v>
      </c>
      <c r="J80" s="13">
        <v>1.0056207469988983</v>
      </c>
      <c r="K80" s="21">
        <f t="shared" si="25"/>
        <v>6.2453438012374196</v>
      </c>
      <c r="L80" s="33">
        <f t="shared" si="26"/>
        <v>0.13320328068803625</v>
      </c>
      <c r="M80" s="34">
        <f t="shared" si="27"/>
        <v>46.885810687081296</v>
      </c>
    </row>
    <row r="81" spans="1:15" ht="31.2" customHeight="1" x14ac:dyDescent="0.35">
      <c r="A81" s="27" t="s">
        <v>22</v>
      </c>
      <c r="B81" s="31">
        <f t="shared" si="24"/>
        <v>7.2925956102623049E-2</v>
      </c>
      <c r="C81" s="13">
        <f t="shared" si="24"/>
        <v>6.6976671325822662E-2</v>
      </c>
      <c r="D81" s="13">
        <f t="shared" si="24"/>
        <v>6.6601640344018123E-2</v>
      </c>
      <c r="E81" s="13">
        <f t="shared" si="24"/>
        <v>6.6601640344018123E-2</v>
      </c>
      <c r="F81" s="13">
        <f t="shared" si="24"/>
        <v>8.8932779033188747E-2</v>
      </c>
      <c r="G81" s="13">
        <f t="shared" si="24"/>
        <v>0.12128546626964212</v>
      </c>
      <c r="H81" s="13">
        <v>2.0312754479832176</v>
      </c>
      <c r="I81" s="13">
        <v>1.3659646850307365</v>
      </c>
      <c r="J81" s="13">
        <v>0.83801728916574847</v>
      </c>
      <c r="K81" s="21">
        <f t="shared" si="25"/>
        <v>4.7185815755990159</v>
      </c>
      <c r="L81" s="33">
        <f t="shared" si="26"/>
        <v>8.8932779033188747E-2</v>
      </c>
      <c r="M81" s="34">
        <f t="shared" si="27"/>
        <v>53.057844665329668</v>
      </c>
    </row>
    <row r="82" spans="1:15" ht="31.2" customHeight="1" x14ac:dyDescent="0.35">
      <c r="A82" s="27" t="s">
        <v>23</v>
      </c>
      <c r="B82" s="31">
        <f t="shared" si="24"/>
        <v>5.8340764882098439E-2</v>
      </c>
      <c r="C82" s="13">
        <f t="shared" si="24"/>
        <v>5.0232503494367003E-2</v>
      </c>
      <c r="D82" s="13">
        <f t="shared" si="24"/>
        <v>4.4401093562678746E-2</v>
      </c>
      <c r="E82" s="13">
        <f t="shared" si="24"/>
        <v>4.4401093562678746E-2</v>
      </c>
      <c r="F82" s="13">
        <f t="shared" si="24"/>
        <v>4.4466389516594373E-2</v>
      </c>
      <c r="G82" s="13">
        <f t="shared" si="24"/>
        <v>6.0642733134821061E-2</v>
      </c>
      <c r="H82" s="13">
        <v>1.3541836319888116</v>
      </c>
      <c r="I82" s="13">
        <v>1.0244735137730525</v>
      </c>
      <c r="J82" s="13">
        <v>0.6704138313325988</v>
      </c>
      <c r="K82" s="21">
        <f t="shared" si="25"/>
        <v>3.351555555247701</v>
      </c>
      <c r="L82" s="33">
        <f t="shared" si="26"/>
        <v>6.0642733134821061E-2</v>
      </c>
      <c r="M82" s="34">
        <f t="shared" si="27"/>
        <v>55.267224644979557</v>
      </c>
    </row>
    <row r="83" spans="1:15" ht="31.2" customHeight="1" x14ac:dyDescent="0.35">
      <c r="A83" s="27" t="s">
        <v>24</v>
      </c>
      <c r="B83" s="31">
        <f t="shared" si="24"/>
        <v>4.8617304068415364E-2</v>
      </c>
      <c r="C83" s="13">
        <f t="shared" si="24"/>
        <v>4.0186002795493607E-2</v>
      </c>
      <c r="D83" s="13">
        <f t="shared" si="24"/>
        <v>3.3300820172009062E-2</v>
      </c>
      <c r="E83" s="13">
        <f t="shared" si="24"/>
        <v>3.3300820172009062E-2</v>
      </c>
      <c r="F83" s="13">
        <f t="shared" si="24"/>
        <v>2.964425967772958E-2</v>
      </c>
      <c r="G83" s="13">
        <f t="shared" si="24"/>
        <v>3.0321366567410531E-2</v>
      </c>
      <c r="H83" s="13">
        <v>0.67709181599440582</v>
      </c>
      <c r="I83" s="13">
        <v>0.68298234251536827</v>
      </c>
      <c r="J83" s="13">
        <v>0.50281037349944913</v>
      </c>
      <c r="K83" s="21">
        <f t="shared" si="25"/>
        <v>2.0782551054622904</v>
      </c>
      <c r="L83" s="33">
        <f t="shared" si="26"/>
        <v>4.1577832289283627E-2</v>
      </c>
      <c r="M83" s="34">
        <f t="shared" si="27"/>
        <v>49.984691145092356</v>
      </c>
    </row>
    <row r="84" spans="1:15" ht="31.2" customHeight="1" x14ac:dyDescent="0.35">
      <c r="A84" s="27" t="s">
        <v>19</v>
      </c>
      <c r="B84" s="31">
        <f t="shared" si="24"/>
        <v>4.1671974915784595E-2</v>
      </c>
      <c r="C84" s="13">
        <f t="shared" si="24"/>
        <v>3.3488335662911331E-2</v>
      </c>
      <c r="D84" s="13">
        <f t="shared" si="24"/>
        <v>2.6640656137607251E-2</v>
      </c>
      <c r="E84" s="13">
        <f t="shared" si="24"/>
        <v>2.6640656137607251E-2</v>
      </c>
      <c r="F84" s="13">
        <f t="shared" si="24"/>
        <v>2.2233194758297187E-2</v>
      </c>
      <c r="G84" s="13">
        <f t="shared" si="24"/>
        <v>2.0214244378273686E-2</v>
      </c>
      <c r="H84" s="13">
        <v>0.33854590799720291</v>
      </c>
      <c r="I84" s="13">
        <v>0.34149117125768413</v>
      </c>
      <c r="J84" s="13">
        <v>0.3352069156662994</v>
      </c>
      <c r="K84" s="21">
        <f t="shared" si="25"/>
        <v>1.1861330569116677</v>
      </c>
      <c r="L84" s="33">
        <f t="shared" si="26"/>
        <v>2.8888382459013189E-2</v>
      </c>
      <c r="M84" s="35">
        <f t="shared" si="27"/>
        <v>41.059171748177739</v>
      </c>
    </row>
    <row r="85" spans="1:15" ht="31.2" customHeight="1" x14ac:dyDescent="0.35">
      <c r="A85" s="27" t="s">
        <v>25</v>
      </c>
      <c r="B85" s="31">
        <f t="shared" si="24"/>
        <v>3.6462978051311525E-2</v>
      </c>
      <c r="C85" s="13">
        <f t="shared" si="24"/>
        <v>2.8704287711066857E-2</v>
      </c>
      <c r="D85" s="13">
        <f t="shared" si="24"/>
        <v>2.2200546781339373E-2</v>
      </c>
      <c r="E85" s="13">
        <f t="shared" si="24"/>
        <v>2.2200546781339373E-2</v>
      </c>
      <c r="F85" s="13">
        <f t="shared" si="24"/>
        <v>1.7786555806637749E-2</v>
      </c>
      <c r="G85" s="13">
        <f t="shared" si="24"/>
        <v>1.5160683283705265E-2</v>
      </c>
      <c r="H85" s="13">
        <v>0.22569727199813527</v>
      </c>
      <c r="I85" s="13">
        <v>0.17074558562884207</v>
      </c>
      <c r="J85" s="13">
        <v>0.1676034578331497</v>
      </c>
      <c r="K85" s="21">
        <f t="shared" si="25"/>
        <v>0.70656191387552714</v>
      </c>
      <c r="L85" s="33">
        <f t="shared" si="26"/>
        <v>2.0917873319660704E-2</v>
      </c>
      <c r="M85" s="34">
        <f t="shared" si="27"/>
        <v>33.777903856575598</v>
      </c>
    </row>
    <row r="86" spans="1:15" ht="31.2" customHeight="1" x14ac:dyDescent="0.3">
      <c r="A86" s="32"/>
      <c r="B86" s="26"/>
      <c r="C86" s="26"/>
      <c r="D86" s="26"/>
      <c r="E86" s="26"/>
      <c r="F86" s="26"/>
      <c r="G86" s="26"/>
      <c r="H86" s="49" t="s">
        <v>40</v>
      </c>
      <c r="I86" s="49"/>
      <c r="J86" s="49"/>
      <c r="K86" s="49"/>
      <c r="L86" s="49"/>
      <c r="M86" s="42">
        <f>AVERAGE(M77:M85)</f>
        <v>43.082141157400919</v>
      </c>
    </row>
    <row r="87" spans="1:15" s="37" customFormat="1" ht="31.2" customHeight="1" x14ac:dyDescent="0.3">
      <c r="H87" s="50" t="s">
        <v>6</v>
      </c>
      <c r="I87" s="50"/>
      <c r="J87" s="50"/>
      <c r="K87" s="50"/>
      <c r="M87" s="46">
        <f>(M86-9)/8</f>
        <v>4.2602676446751149</v>
      </c>
    </row>
    <row r="88" spans="1:15" s="37" customFormat="1" ht="31.2" customHeight="1" x14ac:dyDescent="0.3">
      <c r="H88" s="50" t="s">
        <v>7</v>
      </c>
      <c r="I88" s="50"/>
      <c r="J88" s="50"/>
      <c r="K88" s="50"/>
      <c r="M88" s="47">
        <f>M87/1.45</f>
        <v>2.9381156170173206</v>
      </c>
      <c r="N88" s="45" t="s">
        <v>10</v>
      </c>
      <c r="O88" s="37" t="s">
        <v>41</v>
      </c>
    </row>
    <row r="89" spans="1:15" s="37" customFormat="1" ht="17.399999999999999" x14ac:dyDescent="0.3">
      <c r="A89" s="37" t="s">
        <v>8</v>
      </c>
      <c r="I89" s="44"/>
    </row>
    <row r="90" spans="1:15" s="11" customFormat="1" ht="16.8" customHeight="1" x14ac:dyDescent="0.35">
      <c r="A90" s="36"/>
      <c r="I90" s="12"/>
    </row>
    <row r="91" spans="1:15" s="11" customFormat="1" ht="52.2" x14ac:dyDescent="0.35">
      <c r="A91" s="27" t="s">
        <v>0</v>
      </c>
      <c r="B91" s="38" t="s">
        <v>4</v>
      </c>
      <c r="C91" s="38" t="s">
        <v>9</v>
      </c>
      <c r="I91" s="12"/>
    </row>
    <row r="92" spans="1:15" ht="18" x14ac:dyDescent="0.35">
      <c r="A92" s="27" t="s">
        <v>12</v>
      </c>
      <c r="B92" s="39">
        <f t="shared" ref="B92:B100" si="28">L77</f>
        <v>0.2917038244104922</v>
      </c>
      <c r="C92" s="25">
        <f>RANK(B92, $B$92:$B$100)</f>
        <v>1</v>
      </c>
    </row>
    <row r="93" spans="1:15" ht="18" x14ac:dyDescent="0.35">
      <c r="A93" s="27" t="s">
        <v>13</v>
      </c>
      <c r="B93" s="39">
        <f t="shared" si="28"/>
        <v>0.20093001397746801</v>
      </c>
      <c r="C93" s="25">
        <f t="shared" ref="C93:C100" si="29">RANK(B93, $B$92:$B$100)</f>
        <v>2</v>
      </c>
    </row>
    <row r="94" spans="1:15" ht="18" x14ac:dyDescent="0.35">
      <c r="A94" s="27" t="s">
        <v>14</v>
      </c>
      <c r="B94" s="39">
        <f t="shared" si="28"/>
        <v>0.13320328068803625</v>
      </c>
      <c r="C94" s="25">
        <f t="shared" si="29"/>
        <v>3</v>
      </c>
      <c r="F94" s="3" t="s">
        <v>42</v>
      </c>
    </row>
    <row r="95" spans="1:15" ht="18" x14ac:dyDescent="0.35">
      <c r="A95" s="27" t="s">
        <v>21</v>
      </c>
      <c r="B95" s="39">
        <f t="shared" si="28"/>
        <v>0.13320328068803625</v>
      </c>
      <c r="C95" s="25">
        <f t="shared" si="29"/>
        <v>3</v>
      </c>
    </row>
    <row r="96" spans="1:15" ht="18" x14ac:dyDescent="0.35">
      <c r="A96" s="27" t="s">
        <v>22</v>
      </c>
      <c r="B96" s="39">
        <f t="shared" si="28"/>
        <v>8.8932779033188747E-2</v>
      </c>
      <c r="C96" s="25">
        <f t="shared" si="29"/>
        <v>5</v>
      </c>
    </row>
    <row r="97" spans="1:3" ht="18" x14ac:dyDescent="0.35">
      <c r="A97" s="27" t="s">
        <v>23</v>
      </c>
      <c r="B97" s="39">
        <f t="shared" si="28"/>
        <v>6.0642733134821061E-2</v>
      </c>
      <c r="C97" s="25">
        <f t="shared" si="29"/>
        <v>6</v>
      </c>
    </row>
    <row r="98" spans="1:3" ht="18" x14ac:dyDescent="0.35">
      <c r="A98" s="27" t="s">
        <v>24</v>
      </c>
      <c r="B98" s="39">
        <f t="shared" si="28"/>
        <v>4.1577832289283627E-2</v>
      </c>
      <c r="C98" s="25">
        <f t="shared" si="29"/>
        <v>7</v>
      </c>
    </row>
    <row r="99" spans="1:3" ht="18" x14ac:dyDescent="0.35">
      <c r="A99" s="27" t="s">
        <v>19</v>
      </c>
      <c r="B99" s="39">
        <f t="shared" si="28"/>
        <v>2.8888382459013189E-2</v>
      </c>
      <c r="C99" s="25">
        <f t="shared" si="29"/>
        <v>8</v>
      </c>
    </row>
    <row r="100" spans="1:3" ht="18" x14ac:dyDescent="0.35">
      <c r="A100" s="27" t="s">
        <v>25</v>
      </c>
      <c r="B100" s="39">
        <f t="shared" si="28"/>
        <v>2.0917873319660704E-2</v>
      </c>
      <c r="C100" s="25">
        <f t="shared" si="29"/>
        <v>9</v>
      </c>
    </row>
  </sheetData>
  <mergeCells count="12">
    <mergeCell ref="A1:J1"/>
    <mergeCell ref="H86:L86"/>
    <mergeCell ref="H87:K87"/>
    <mergeCell ref="H88:K88"/>
    <mergeCell ref="A51:K51"/>
    <mergeCell ref="A52:J52"/>
    <mergeCell ref="A75:J75"/>
    <mergeCell ref="A2:J2"/>
    <mergeCell ref="A14:J14"/>
    <mergeCell ref="A15:J15"/>
    <mergeCell ref="A28:J28"/>
    <mergeCell ref="A40:J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Hien Nguyen Thi Dieu</cp:lastModifiedBy>
  <dcterms:created xsi:type="dcterms:W3CDTF">2026-01-24T15:19:37Z</dcterms:created>
  <dcterms:modified xsi:type="dcterms:W3CDTF">2026-04-05T03:46:03Z</dcterms:modified>
</cp:coreProperties>
</file>